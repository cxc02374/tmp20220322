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drawings/drawing4.xml" ContentType="application/vnd.openxmlformats-officedocument.drawing+xml"/>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efiles\DABI(3)\開発系_チーム(3)\移行導入\90.事務処理\TOKAICOM勤務報告\2022年4月\月次報告\"/>
    </mc:Choice>
  </mc:AlternateContent>
  <xr:revisionPtr revIDLastSave="0" documentId="13_ncr:1_{405020F7-C844-4138-A6BC-9176270B62A5}" xr6:coauthVersionLast="47" xr6:coauthVersionMax="47" xr10:uidLastSave="{00000000-0000-0000-0000-000000000000}"/>
  <workbookProtection workbookAlgorithmName="SHA-512" workbookHashValue="GZhpKaSmensoO4uk3ZjtEFHISasc0YhPL30IFw6BYw9XWs4UlHfK4pgkZFjT1irE1OpQwlKocBdfUzWkgVilew==" workbookSaltValue="BkZoWn1/Fer3YdN6KnuPaA==" workbookSpinCount="100000" lockStructure="1"/>
  <bookViews>
    <workbookView xWindow="-120" yWindow="-120" windowWidth="29040" windowHeight="15840" tabRatio="855" xr2:uid="{00000000-000D-0000-FFFF-FFFF00000000}"/>
  </bookViews>
  <sheets>
    <sheet name="作業日報" sheetId="1" r:id="rId1"/>
    <sheet name="勤務区分表" sheetId="2" r:id="rId2"/>
    <sheet name="日報Excel" sheetId="3" r:id="rId3"/>
    <sheet name="一括出力 (CSV)" sheetId="4" state="hidden" r:id="rId4"/>
    <sheet name="CSV取込" sheetId="5" state="hidden" r:id="rId5"/>
    <sheet name="データ収集" sheetId="6" state="hidden" r:id="rId6"/>
    <sheet name="コード" sheetId="7" r:id="rId7"/>
    <sheet name="プロジェクトマスタ" sheetId="8" r:id="rId8"/>
    <sheet name="工程コードマスタ" sheetId="9" r:id="rId9"/>
    <sheet name="テーママスタ" sheetId="10" r:id="rId10"/>
    <sheet name="作業コードマスタ" sheetId="11" r:id="rId11"/>
    <sheet name="工程・作業対応" sheetId="12" r:id="rId12"/>
    <sheet name="祝日" sheetId="13" r:id="rId13"/>
    <sheet name="エラー情報" sheetId="14" state="hidden" r:id="rId14"/>
    <sheet name="設定" sheetId="15" state="hidden" r:id="rId15"/>
    <sheet name="時分変換表" sheetId="16" r:id="rId16"/>
    <sheet name="改訂履歴" sheetId="17" r:id="rId17"/>
  </sheets>
  <functionGroups builtInGroupCount="19"/>
  <definedNames>
    <definedName name="_xlnm._FilterDatabase" localSheetId="4" hidden="1">CSV取込!$B$16:$F$156</definedName>
    <definedName name="_xlnm._FilterDatabase" localSheetId="3" hidden="1">'一括出力 (CSV)'!$B$16:$F$993</definedName>
    <definedName name="_xlnm._FilterDatabase" localSheetId="1" hidden="1">勤務区分表!$D$4:$F$51</definedName>
    <definedName name="C_RG_TIME_KBN_MASTER">改訂履歴!$A$34</definedName>
    <definedName name="Csv取込_出力フォルダ_Excel">設定!$B$26</definedName>
    <definedName name="Csv取込_出力フラグ_Excel">設定!$B$28</definedName>
    <definedName name="Csv取込_出力フラグ_MDB">設定!$B$27</definedName>
    <definedName name="MDB_パス">設定!$B$31</definedName>
    <definedName name="_xlnm.Print_Area" localSheetId="4">CSV取込!$A$1:$F$76</definedName>
    <definedName name="_xlnm.Print_Area" localSheetId="3">'一括出力 (CSV)'!$A$1:$F$76</definedName>
    <definedName name="_xlnm.Print_Area" localSheetId="2">日報Excel!$B$1:$AP$46</definedName>
    <definedName name="_xlnm.Print_Titles" localSheetId="4">CSV取込!$16:$16</definedName>
    <definedName name="_xlnm.Print_Titles" localSheetId="3">'一括出力 (CSV)'!$16:$16</definedName>
    <definedName name="テーマ_115001">テーママスタ!$D$2:$D$139</definedName>
    <definedName name="テーマ_115007">テーママスタ!$D$2:$D$76</definedName>
    <definedName name="テーマ_115008">テーママスタ!$D$2:$D$143</definedName>
    <definedName name="テーマ_115009">テーママスタ!$D$2:$D$92</definedName>
    <definedName name="テーマ_999EDC">テーママスタ!$D$77:$D$78</definedName>
    <definedName name="テーマコード">テーママスタ!$D$2:$D$342</definedName>
    <definedName name="テーマ一覧">テーママスタ!$A$2:$D$342</definedName>
    <definedName name="テンプレート_パス_データ収集シート">設定!$B$34</definedName>
    <definedName name="テンプレート_パス_作業報告書_委任">設定!$B$2</definedName>
    <definedName name="テンプレート_パス_作業報告書_派遣">設定!$B$3</definedName>
    <definedName name="テンプレート_パス_日報Excel_社員">設定!$B$13</definedName>
    <definedName name="バージョン">作業日報!$AJ$1</definedName>
    <definedName name="プロジェクトマスタ">プロジェクトマスタ!$A$2:$E$21</definedName>
    <definedName name="プロジェクト名_マスタ">プロジェクトマスタ!$C$2:$D$21</definedName>
    <definedName name="プロジェクト名_正式">プロジェクトマスタ!$C$2:$C$21</definedName>
    <definedName name="ユーザ_プロジェクト名">作業日報!$U$2</definedName>
    <definedName name="ユーザ_プロジェクト名_TC">作業日報!$X$2</definedName>
    <definedName name="ユーザ_会社名">作業日報!$AE$2</definedName>
    <definedName name="ユーザ_開始日">作業日報!$AB$2</definedName>
    <definedName name="ユーザ_契約形態">作業日報!$AI$2</definedName>
    <definedName name="ユーザ_氏名">作業日報!$X$3</definedName>
    <definedName name="ユーザ_資格">作業日報!$Z$3</definedName>
    <definedName name="ユーザ_実施責任者">作業日報!$AI$3</definedName>
    <definedName name="ユーザ_社員ID">作業日報!$U$3</definedName>
    <definedName name="ユーザ_社員区分">作業日報!$I$3</definedName>
    <definedName name="ユーザ_終了日">作業日報!$AB$3</definedName>
    <definedName name="ユーザ_注文番号">作業日報!$AE$3</definedName>
    <definedName name="ユーザ_部署">作業日報!$I$2</definedName>
    <definedName name="ユーザ区分">設定!$B$43</definedName>
    <definedName name="リビジョン">設定!$B$46</definedName>
    <definedName name="一括登録_パス_作業日報" localSheetId="4">CSV取込!#REF!</definedName>
    <definedName name="一括登録_パス_作業日報" localSheetId="3">'一括出力 (CSV)'!#REF!</definedName>
    <definedName name="拡幅作業コード">コード!$R$4:$S$17</definedName>
    <definedName name="契約形態マスタ">コード!$P$4:$P$6</definedName>
    <definedName name="検索条件_オーダー番号">設定!$B$35</definedName>
    <definedName name="検索条件_プロジェクトコード">設定!$B$36</definedName>
    <definedName name="工程・作業_A0">工程・作業対応!$C$2:$C$11</definedName>
    <definedName name="工程・作業_A1">工程・作業対応!$C$2:$C$5</definedName>
    <definedName name="工程・作業_B1">工程・作業対応!$C$6:$C$10</definedName>
    <definedName name="工程・作業_B2">工程・作業対応!$C$10:$C$13</definedName>
    <definedName name="工程・作業_C1">工程・作業対応!$C$14:$C$17</definedName>
    <definedName name="工程・作業_C2">工程・作業対応!$C$16:$C$21</definedName>
    <definedName name="工程・作業_D1">工程・作業対応!$C$23:$C$30</definedName>
    <definedName name="工程・作業_D9">工程・作業対応!$C$254:$C$264</definedName>
    <definedName name="工程・作業_E1">工程・作業対応!$C$31:$C$37</definedName>
    <definedName name="工程・作業_E2">工程・作業対応!$C$37:$C$42</definedName>
    <definedName name="工程・作業_E4">工程・作業対応!$C$321:$C$328</definedName>
    <definedName name="工程・作業_F1">工程・作業対応!$C$43:$C$48</definedName>
    <definedName name="工程・作業_F2">工程・作業対応!$C$52:$C$58</definedName>
    <definedName name="工程・作業_F3">工程・作業対応!$C$59:$C$65</definedName>
    <definedName name="工程・作業_H1">工程・作業対応!$C$39:$C$44</definedName>
    <definedName name="工程・作業_I1">工程・作業対応!$C$57:$C$65</definedName>
    <definedName name="工程・作業_K1">工程・作業対応!$C$61:$C$69</definedName>
    <definedName name="工程・作業_L1">工程・作業対応!$C$76:$C$82</definedName>
    <definedName name="工程・作業_L2">工程・作業対応!$C$463:$C$465</definedName>
    <definedName name="工程・作業_L4">工程・作業対応!$C$468:$C$470</definedName>
    <definedName name="工程・作業_M1">工程・作業対応!$C$83:$C$85</definedName>
    <definedName name="工程・作業_N1">工程・作業対応!$C$86:$C$87</definedName>
    <definedName name="工程・作業_O1">工程・作業対応!$C$81:$C$85</definedName>
    <definedName name="工程・作業_P1">工程・作業対応!$C$86:$C$88</definedName>
    <definedName name="工程・作業_Q1">工程・作業対応!$C$89:$C$100</definedName>
    <definedName name="工程・作業_Q2">工程・作業対応!$C$101:$C$112</definedName>
    <definedName name="工程・作業_V0">工程・作業対応!$C$87:$C$90</definedName>
    <definedName name="工程・作業_V1">工程・作業対応!$C$91:$C$94</definedName>
    <definedName name="工程・作業_V3">工程・作業対応!$C$99:$C$106</definedName>
    <definedName name="工程・作業_V7">工程・作業対応!$C$131:$C$136</definedName>
    <definedName name="工程・作業_W0">工程・作業対応!$C$149:$C$157</definedName>
    <definedName name="工程・作業_W1">工程・作業対応!$C$158:$C$161</definedName>
    <definedName name="工程・作業_W2">工程・作業対応!$C$162:$C$166</definedName>
    <definedName name="工程・作業_W3">工程・作業対応!$C$167:$C$175</definedName>
    <definedName name="工程・作業対応">工程・作業対応!$C$2:$C$587</definedName>
    <definedName name="工程・作業対応マスタ">工程・作業対応!$A$2:$C$587</definedName>
    <definedName name="工程コード">工程コードマスタ!$C$2:$C$62</definedName>
    <definedName name="工程コード_マスタ">工程コードマスタ!$A$2:$C$62</definedName>
    <definedName name="作業コード_マスタ">作業コードマスタ!$A$2:$C$90</definedName>
    <definedName name="時間区分">時間区分_BP</definedName>
    <definedName name="時間区分_BP">コード!$I$4</definedName>
    <definedName name="時間区分_社員">コード!$I$4:$I$19</definedName>
    <definedName name="時間区分マスタ">コード!$I$4:$K$19</definedName>
    <definedName name="時間区分リスト">コード!$J$4:$J$19</definedName>
    <definedName name="実績プロジェクトコード">作業日報!$W$15:$W$404</definedName>
    <definedName name="実績時間">作業日報!$F$15:$H$404</definedName>
    <definedName name="実績手当">作業日報!$AL$15:$AS$404</definedName>
    <definedName name="実績承認">作業日報!$U$15:$V$404</definedName>
    <definedName name="実績遅刻早退">作業日報!$I$15:$K$404</definedName>
    <definedName name="実績日付">作業日報!$B$15:$E$404</definedName>
    <definedName name="実績入力">作業日報!$X$15:$AJ$404</definedName>
    <definedName name="祝日" localSheetId="12">祝日!$B$15:$B$74</definedName>
    <definedName name="祝日">祝日!$B$15:$B$74</definedName>
    <definedName name="祝日テーブル">祝日!$B:$B</definedName>
    <definedName name="出退勤区分マスタ">コード!$Y$4:$Y$50</definedName>
    <definedName name="出力ファイル_CSV">設定!$B$10</definedName>
    <definedName name="出力ファイル_データ収集シート">設定!$B$37</definedName>
    <definedName name="出力ファイル_作業報告書">設定!$B$4</definedName>
    <definedName name="出力フォルダ_一括出力">設定!$B$18</definedName>
    <definedName name="出力フォルダ_一括出力Csv">設定!$B$19</definedName>
    <definedName name="出力フラグ_Csv">設定!$B$22</definedName>
    <definedName name="出力フラグ_MDB">設定!$B$20</definedName>
    <definedName name="出力フラグ_日報Excel">設定!$B$21</definedName>
    <definedName name="初期化フラグ">設定!$B$40</definedName>
    <definedName name="遅刻早退区分マスタ">コード!$W$4:$W$10</definedName>
    <definedName name="読み込み先パス" localSheetId="4">CSV取込!#REF!</definedName>
    <definedName name="読み込み先パス" localSheetId="3">'一括出力 (CSV)'!#REF!</definedName>
    <definedName name="日報Excel_開始終了">日報Excel!$AV$7:$AW$45</definedName>
    <definedName name="日報Excel_開始日">日報Excel!$BD$2</definedName>
    <definedName name="日報Excel_氏名">日報Excel!$AY$3</definedName>
    <definedName name="日報Excel_資格">日報Excel!$BB$3</definedName>
    <definedName name="日報Excel_時間外指示内容">日報Excel!$AP$7:$AP$45</definedName>
    <definedName name="日報Excel_自動振分">日報Excel!$AR$7:$AR$45</definedName>
    <definedName name="日報Excel_社員番号">日報Excel!$AW$3</definedName>
    <definedName name="日報Excel_手当">日報Excel!$AG$7:$AN$45</definedName>
    <definedName name="日報Excel_終了日">日報Excel!$BD$3</definedName>
    <definedName name="日報Excel_出退勤">日報Excel!$AS$7:$AU$45</definedName>
    <definedName name="日報Excel_所属">日報Excel!$AW$2</definedName>
    <definedName name="日報Excel_承認">日報Excel!$H$7:$I$45</definedName>
    <definedName name="日報Excel_振替予定日">日報Excel!$AQ$7:$AQ$45</definedName>
    <definedName name="日報Excel_備考">日報Excel!$AO$7:$AO$45</definedName>
    <definedName name="日報Excel_明細">日報Excel!$AZ$7:$CC$45</definedName>
    <definedName name="入力ファイル_CSV">設定!$B$7</definedName>
    <definedName name="入力フォルダ_Csv取込">設定!$B$25</definedName>
    <definedName name="入力フォルダ_一括出力">設定!$B$17</definedName>
    <definedName name="納品物件">コード!$U$4:$U$44</definedName>
    <definedName name="部署マスタ">コード!$M$4:$M$13</definedName>
    <definedName name="法定外休日">祝日!$B$2:$D$12</definedName>
    <definedName name="列_時間外指示内容" localSheetId="0">作業日報!$AI$13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13" l="1"/>
  <c r="C11" i="13"/>
  <c r="C10" i="13"/>
  <c r="C9" i="13"/>
  <c r="C8" i="13"/>
  <c r="C7" i="13"/>
  <c r="C6" i="13"/>
  <c r="C5" i="13"/>
  <c r="C4" i="13"/>
  <c r="C3" i="13"/>
  <c r="C2" i="13"/>
  <c r="A15" i="13" l="1"/>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C3" i="12"/>
  <c r="C2" i="12"/>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D342" i="10"/>
  <c r="D341" i="10"/>
  <c r="D340" i="10"/>
  <c r="D339" i="10"/>
  <c r="D338" i="10"/>
  <c r="D337" i="10"/>
  <c r="D336" i="10"/>
  <c r="D335" i="10"/>
  <c r="D334" i="10"/>
  <c r="D333" i="10"/>
  <c r="D332" i="10"/>
  <c r="D331" i="10"/>
  <c r="D330" i="10"/>
  <c r="D329" i="10"/>
  <c r="D328" i="10"/>
  <c r="D327" i="10"/>
  <c r="D326" i="10"/>
  <c r="D325" i="10"/>
  <c r="D324" i="10"/>
  <c r="D323" i="10"/>
  <c r="D322" i="10"/>
  <c r="D321" i="10"/>
  <c r="D320" i="10"/>
  <c r="D319" i="10"/>
  <c r="D318" i="10"/>
  <c r="D317" i="10"/>
  <c r="D316" i="10"/>
  <c r="D315" i="10"/>
  <c r="D314" i="10"/>
  <c r="D313" i="10"/>
  <c r="D312" i="10"/>
  <c r="D311" i="10"/>
  <c r="D310" i="10"/>
  <c r="D309" i="10"/>
  <c r="D308" i="10"/>
  <c r="D307" i="10"/>
  <c r="D306" i="10"/>
  <c r="D305" i="10"/>
  <c r="D304" i="10"/>
  <c r="D303" i="10"/>
  <c r="D302" i="10"/>
  <c r="D301" i="10"/>
  <c r="D300" i="10"/>
  <c r="D299" i="10"/>
  <c r="D298" i="10"/>
  <c r="D297" i="10"/>
  <c r="D296" i="10"/>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21" i="10"/>
  <c r="D20" i="10"/>
  <c r="D19" i="10"/>
  <c r="D18" i="10"/>
  <c r="D17" i="10"/>
  <c r="D16" i="10"/>
  <c r="D15" i="10"/>
  <c r="D14" i="10"/>
  <c r="D13" i="10"/>
  <c r="D12" i="10"/>
  <c r="D11" i="10"/>
  <c r="D10" i="10"/>
  <c r="D9" i="10"/>
  <c r="D8" i="10"/>
  <c r="D7" i="10"/>
  <c r="D6" i="10"/>
  <c r="D5" i="10"/>
  <c r="D4" i="10"/>
  <c r="D3" i="10"/>
  <c r="D2" i="10"/>
  <c r="C31" i="9"/>
  <c r="C30" i="9"/>
  <c r="C29" i="9"/>
  <c r="C28" i="9"/>
  <c r="C27" i="9"/>
  <c r="C26" i="9"/>
  <c r="C25" i="9"/>
  <c r="C24" i="9"/>
  <c r="C23" i="9"/>
  <c r="C22" i="9"/>
  <c r="C21" i="9"/>
  <c r="C20" i="9"/>
  <c r="C19" i="9"/>
  <c r="C18" i="9"/>
  <c r="C17" i="9"/>
  <c r="C16" i="9"/>
  <c r="C15" i="9"/>
  <c r="C14" i="9"/>
  <c r="C13" i="9"/>
  <c r="C12" i="9"/>
  <c r="C11" i="9"/>
  <c r="C10" i="9"/>
  <c r="C9" i="9"/>
  <c r="C8" i="9"/>
  <c r="C7" i="9"/>
  <c r="C6" i="9"/>
  <c r="C5" i="9"/>
  <c r="C4" i="9"/>
  <c r="C3" i="9"/>
  <c r="C2" i="9"/>
  <c r="C9" i="8"/>
  <c r="C8" i="8"/>
  <c r="C7" i="8"/>
  <c r="C6" i="8"/>
  <c r="C5" i="8"/>
  <c r="C4" i="8"/>
  <c r="C3" i="8"/>
  <c r="C2" i="8"/>
  <c r="AN46" i="3"/>
  <c r="AM46" i="3"/>
  <c r="AL46" i="3"/>
  <c r="AK46" i="3"/>
  <c r="AJ46" i="3"/>
  <c r="AI46" i="3"/>
  <c r="AH46" i="3"/>
  <c r="AG46" i="3"/>
  <c r="DJ45" i="3"/>
  <c r="DI45" i="3"/>
  <c r="DH45" i="3"/>
  <c r="DG45" i="3"/>
  <c r="DF45" i="3"/>
  <c r="DE45" i="3"/>
  <c r="DD45" i="3"/>
  <c r="DC45" i="3"/>
  <c r="DB45" i="3"/>
  <c r="DA45" i="3"/>
  <c r="CY45" i="3"/>
  <c r="CX45" i="3"/>
  <c r="CW45" i="3"/>
  <c r="CV45" i="3"/>
  <c r="CU45" i="3"/>
  <c r="CT45" i="3"/>
  <c r="CS45" i="3"/>
  <c r="CR45" i="3"/>
  <c r="CQ45" i="3"/>
  <c r="CP45" i="3"/>
  <c r="CN45" i="3"/>
  <c r="CM45" i="3"/>
  <c r="CL45" i="3"/>
  <c r="CK45" i="3"/>
  <c r="CJ45" i="3"/>
  <c r="CI45" i="3"/>
  <c r="CH45" i="3"/>
  <c r="CG45" i="3"/>
  <c r="CF45" i="3"/>
  <c r="CE45" i="3"/>
  <c r="AX45" i="3"/>
  <c r="L45" i="3"/>
  <c r="K45" i="3"/>
  <c r="J45" i="3"/>
  <c r="G45" i="3"/>
  <c r="F45" i="3"/>
  <c r="DJ44" i="3"/>
  <c r="DI44" i="3"/>
  <c r="DH44" i="3"/>
  <c r="DG44" i="3"/>
  <c r="DF44" i="3"/>
  <c r="DE44" i="3"/>
  <c r="DD44" i="3"/>
  <c r="DC44" i="3"/>
  <c r="DB44" i="3"/>
  <c r="DA44" i="3"/>
  <c r="CY44" i="3"/>
  <c r="CX44" i="3"/>
  <c r="CW44" i="3"/>
  <c r="CV44" i="3"/>
  <c r="CU44" i="3"/>
  <c r="CT44" i="3"/>
  <c r="CS44" i="3"/>
  <c r="CR44" i="3"/>
  <c r="CQ44" i="3"/>
  <c r="CP44" i="3"/>
  <c r="CN44" i="3"/>
  <c r="CM44" i="3"/>
  <c r="CL44" i="3"/>
  <c r="CK44" i="3"/>
  <c r="CJ44" i="3"/>
  <c r="CI44" i="3"/>
  <c r="CH44" i="3"/>
  <c r="CG44" i="3"/>
  <c r="CF44" i="3"/>
  <c r="CE44" i="3"/>
  <c r="AX44" i="3"/>
  <c r="L44" i="3"/>
  <c r="K44" i="3"/>
  <c r="J44" i="3"/>
  <c r="G44" i="3"/>
  <c r="F44" i="3"/>
  <c r="DJ43" i="3"/>
  <c r="DI43" i="3"/>
  <c r="DH43" i="3"/>
  <c r="DG43" i="3"/>
  <c r="DF43" i="3"/>
  <c r="DE43" i="3"/>
  <c r="DD43" i="3"/>
  <c r="DC43" i="3"/>
  <c r="DB43" i="3"/>
  <c r="DA43" i="3"/>
  <c r="CY43" i="3"/>
  <c r="CX43" i="3"/>
  <c r="CW43" i="3"/>
  <c r="CV43" i="3"/>
  <c r="CU43" i="3"/>
  <c r="CT43" i="3"/>
  <c r="CS43" i="3"/>
  <c r="CR43" i="3"/>
  <c r="CQ43" i="3"/>
  <c r="CP43" i="3"/>
  <c r="CN43" i="3"/>
  <c r="CM43" i="3"/>
  <c r="CL43" i="3"/>
  <c r="CK43" i="3"/>
  <c r="CJ43" i="3"/>
  <c r="CI43" i="3"/>
  <c r="CH43" i="3"/>
  <c r="CG43" i="3"/>
  <c r="CF43" i="3"/>
  <c r="CE43" i="3"/>
  <c r="AX43" i="3"/>
  <c r="L43" i="3"/>
  <c r="K43" i="3"/>
  <c r="J43" i="3"/>
  <c r="G43" i="3"/>
  <c r="F43" i="3"/>
  <c r="DJ42" i="3"/>
  <c r="DI42" i="3"/>
  <c r="DH42" i="3"/>
  <c r="DG42" i="3"/>
  <c r="DF42" i="3"/>
  <c r="DE42" i="3"/>
  <c r="DD42" i="3"/>
  <c r="DC42" i="3"/>
  <c r="DB42" i="3"/>
  <c r="DA42" i="3"/>
  <c r="CY42" i="3"/>
  <c r="CX42" i="3"/>
  <c r="CW42" i="3"/>
  <c r="CV42" i="3"/>
  <c r="CU42" i="3"/>
  <c r="CT42" i="3"/>
  <c r="CS42" i="3"/>
  <c r="CR42" i="3"/>
  <c r="CQ42" i="3"/>
  <c r="CP42" i="3"/>
  <c r="CN42" i="3"/>
  <c r="CM42" i="3"/>
  <c r="CL42" i="3"/>
  <c r="CK42" i="3"/>
  <c r="CJ42" i="3"/>
  <c r="CI42" i="3"/>
  <c r="CH42" i="3"/>
  <c r="CG42" i="3"/>
  <c r="CF42" i="3"/>
  <c r="CE42" i="3"/>
  <c r="AX42" i="3"/>
  <c r="L42" i="3"/>
  <c r="K42" i="3"/>
  <c r="J42" i="3"/>
  <c r="G42" i="3"/>
  <c r="F42" i="3"/>
  <c r="DJ41" i="3"/>
  <c r="DI41" i="3"/>
  <c r="DH41" i="3"/>
  <c r="DG41" i="3"/>
  <c r="DF41" i="3"/>
  <c r="DE41" i="3"/>
  <c r="DD41" i="3"/>
  <c r="DC41" i="3"/>
  <c r="DB41" i="3"/>
  <c r="DA41" i="3"/>
  <c r="CY41" i="3"/>
  <c r="CX41" i="3"/>
  <c r="CW41" i="3"/>
  <c r="CV41" i="3"/>
  <c r="CU41" i="3"/>
  <c r="CT41" i="3"/>
  <c r="CS41" i="3"/>
  <c r="CR41" i="3"/>
  <c r="CQ41" i="3"/>
  <c r="CP41" i="3"/>
  <c r="CN41" i="3"/>
  <c r="CM41" i="3"/>
  <c r="CL41" i="3"/>
  <c r="CK41" i="3"/>
  <c r="CJ41" i="3"/>
  <c r="CI41" i="3"/>
  <c r="CH41" i="3"/>
  <c r="CG41" i="3"/>
  <c r="CF41" i="3"/>
  <c r="CE41" i="3"/>
  <c r="AX41" i="3"/>
  <c r="L41" i="3"/>
  <c r="K41" i="3"/>
  <c r="J41" i="3"/>
  <c r="G41" i="3"/>
  <c r="F41" i="3"/>
  <c r="DJ40" i="3"/>
  <c r="DI40" i="3"/>
  <c r="DH40" i="3"/>
  <c r="DG40" i="3"/>
  <c r="DF40" i="3"/>
  <c r="DE40" i="3"/>
  <c r="DD40" i="3"/>
  <c r="DC40" i="3"/>
  <c r="DB40" i="3"/>
  <c r="DA40" i="3"/>
  <c r="CY40" i="3"/>
  <c r="CX40" i="3"/>
  <c r="CW40" i="3"/>
  <c r="CV40" i="3"/>
  <c r="CU40" i="3"/>
  <c r="CT40" i="3"/>
  <c r="CS40" i="3"/>
  <c r="CR40" i="3"/>
  <c r="CQ40" i="3"/>
  <c r="CP40" i="3"/>
  <c r="CN40" i="3"/>
  <c r="CM40" i="3"/>
  <c r="CL40" i="3"/>
  <c r="CK40" i="3"/>
  <c r="CJ40" i="3"/>
  <c r="CI40" i="3"/>
  <c r="CH40" i="3"/>
  <c r="CG40" i="3"/>
  <c r="CF40" i="3"/>
  <c r="CE40" i="3"/>
  <c r="AX40" i="3"/>
  <c r="L40" i="3"/>
  <c r="K40" i="3"/>
  <c r="J40" i="3"/>
  <c r="G40" i="3"/>
  <c r="F40" i="3"/>
  <c r="DJ39" i="3"/>
  <c r="DI39" i="3"/>
  <c r="DH39" i="3"/>
  <c r="DG39" i="3"/>
  <c r="DF39" i="3"/>
  <c r="DE39" i="3"/>
  <c r="DD39" i="3"/>
  <c r="DC39" i="3"/>
  <c r="DB39" i="3"/>
  <c r="DA39" i="3"/>
  <c r="CY39" i="3"/>
  <c r="CX39" i="3"/>
  <c r="CW39" i="3"/>
  <c r="CV39" i="3"/>
  <c r="CU39" i="3"/>
  <c r="CT39" i="3"/>
  <c r="CS39" i="3"/>
  <c r="CR39" i="3"/>
  <c r="CQ39" i="3"/>
  <c r="CP39" i="3"/>
  <c r="CN39" i="3"/>
  <c r="CM39" i="3"/>
  <c r="CL39" i="3"/>
  <c r="CK39" i="3"/>
  <c r="CJ39" i="3"/>
  <c r="CI39" i="3"/>
  <c r="CH39" i="3"/>
  <c r="CG39" i="3"/>
  <c r="CF39" i="3"/>
  <c r="CE39" i="3"/>
  <c r="AX39" i="3"/>
  <c r="L39" i="3"/>
  <c r="K39" i="3"/>
  <c r="J39" i="3"/>
  <c r="G39" i="3"/>
  <c r="F39" i="3"/>
  <c r="DJ38" i="3"/>
  <c r="DI38" i="3"/>
  <c r="DH38" i="3"/>
  <c r="DG38" i="3"/>
  <c r="DF38" i="3"/>
  <c r="DE38" i="3"/>
  <c r="DD38" i="3"/>
  <c r="DC38" i="3"/>
  <c r="DB38" i="3"/>
  <c r="DA38" i="3"/>
  <c r="CY38" i="3"/>
  <c r="CX38" i="3"/>
  <c r="CW38" i="3"/>
  <c r="CV38" i="3"/>
  <c r="CU38" i="3"/>
  <c r="CT38" i="3"/>
  <c r="CS38" i="3"/>
  <c r="CR38" i="3"/>
  <c r="CQ38" i="3"/>
  <c r="CP38" i="3"/>
  <c r="CN38" i="3"/>
  <c r="CM38" i="3"/>
  <c r="CL38" i="3"/>
  <c r="CK38" i="3"/>
  <c r="CJ38" i="3"/>
  <c r="CI38" i="3"/>
  <c r="CH38" i="3"/>
  <c r="CG38" i="3"/>
  <c r="CF38" i="3"/>
  <c r="CE38" i="3"/>
  <c r="AX38" i="3"/>
  <c r="L38" i="3"/>
  <c r="K38" i="3"/>
  <c r="J38" i="3"/>
  <c r="G38" i="3"/>
  <c r="F38" i="3"/>
  <c r="DJ37" i="3"/>
  <c r="DI37" i="3"/>
  <c r="DH37" i="3"/>
  <c r="DG37" i="3"/>
  <c r="DF37" i="3"/>
  <c r="DE37" i="3"/>
  <c r="DD37" i="3"/>
  <c r="DC37" i="3"/>
  <c r="DB37" i="3"/>
  <c r="DA37" i="3"/>
  <c r="CY37" i="3"/>
  <c r="CX37" i="3"/>
  <c r="CW37" i="3"/>
  <c r="CV37" i="3"/>
  <c r="CU37" i="3"/>
  <c r="CT37" i="3"/>
  <c r="CS37" i="3"/>
  <c r="CR37" i="3"/>
  <c r="CQ37" i="3"/>
  <c r="CP37" i="3"/>
  <c r="CN37" i="3"/>
  <c r="CM37" i="3"/>
  <c r="CL37" i="3"/>
  <c r="CK37" i="3"/>
  <c r="CJ37" i="3"/>
  <c r="CI37" i="3"/>
  <c r="CH37" i="3"/>
  <c r="CG37" i="3"/>
  <c r="CF37" i="3"/>
  <c r="CE37" i="3"/>
  <c r="AX37" i="3"/>
  <c r="L37" i="3"/>
  <c r="K37" i="3"/>
  <c r="J37" i="3"/>
  <c r="G37" i="3"/>
  <c r="F37" i="3"/>
  <c r="DJ36" i="3"/>
  <c r="DI36" i="3"/>
  <c r="DH36" i="3"/>
  <c r="DG36" i="3"/>
  <c r="DF36" i="3"/>
  <c r="DE36" i="3"/>
  <c r="DD36" i="3"/>
  <c r="DC36" i="3"/>
  <c r="DB36" i="3"/>
  <c r="DA36" i="3"/>
  <c r="CY36" i="3"/>
  <c r="CX36" i="3"/>
  <c r="CW36" i="3"/>
  <c r="CV36" i="3"/>
  <c r="CU36" i="3"/>
  <c r="CT36" i="3"/>
  <c r="CS36" i="3"/>
  <c r="CR36" i="3"/>
  <c r="CQ36" i="3"/>
  <c r="CP36" i="3"/>
  <c r="CN36" i="3"/>
  <c r="CM36" i="3"/>
  <c r="CL36" i="3"/>
  <c r="CK36" i="3"/>
  <c r="CJ36" i="3"/>
  <c r="CI36" i="3"/>
  <c r="CH36" i="3"/>
  <c r="CG36" i="3"/>
  <c r="CF36" i="3"/>
  <c r="CE36" i="3"/>
  <c r="AX36" i="3"/>
  <c r="L36" i="3"/>
  <c r="K36" i="3"/>
  <c r="J36" i="3"/>
  <c r="G36" i="3"/>
  <c r="F36" i="3"/>
  <c r="DJ35" i="3"/>
  <c r="DI35" i="3"/>
  <c r="DH35" i="3"/>
  <c r="DG35" i="3"/>
  <c r="DF35" i="3"/>
  <c r="DE35" i="3"/>
  <c r="DD35" i="3"/>
  <c r="DC35" i="3"/>
  <c r="DB35" i="3"/>
  <c r="DA35" i="3"/>
  <c r="CY35" i="3"/>
  <c r="CX35" i="3"/>
  <c r="CW35" i="3"/>
  <c r="CV35" i="3"/>
  <c r="CU35" i="3"/>
  <c r="CT35" i="3"/>
  <c r="CS35" i="3"/>
  <c r="CR35" i="3"/>
  <c r="CQ35" i="3"/>
  <c r="CP35" i="3"/>
  <c r="CN35" i="3"/>
  <c r="CM35" i="3"/>
  <c r="CL35" i="3"/>
  <c r="CK35" i="3"/>
  <c r="CJ35" i="3"/>
  <c r="CI35" i="3"/>
  <c r="CH35" i="3"/>
  <c r="CG35" i="3"/>
  <c r="CF35" i="3"/>
  <c r="CE35" i="3"/>
  <c r="AX35" i="3"/>
  <c r="L35" i="3"/>
  <c r="K35" i="3"/>
  <c r="J35" i="3"/>
  <c r="G35" i="3"/>
  <c r="F35" i="3"/>
  <c r="DJ34" i="3"/>
  <c r="DI34" i="3"/>
  <c r="DH34" i="3"/>
  <c r="DG34" i="3"/>
  <c r="DF34" i="3"/>
  <c r="DE34" i="3"/>
  <c r="DD34" i="3"/>
  <c r="DC34" i="3"/>
  <c r="DB34" i="3"/>
  <c r="DA34" i="3"/>
  <c r="CY34" i="3"/>
  <c r="CX34" i="3"/>
  <c r="CW34" i="3"/>
  <c r="CV34" i="3"/>
  <c r="CU34" i="3"/>
  <c r="CT34" i="3"/>
  <c r="CS34" i="3"/>
  <c r="CR34" i="3"/>
  <c r="CQ34" i="3"/>
  <c r="CP34" i="3"/>
  <c r="CN34" i="3"/>
  <c r="CM34" i="3"/>
  <c r="CL34" i="3"/>
  <c r="CK34" i="3"/>
  <c r="CJ34" i="3"/>
  <c r="CI34" i="3"/>
  <c r="CH34" i="3"/>
  <c r="CG34" i="3"/>
  <c r="CF34" i="3"/>
  <c r="CE34" i="3"/>
  <c r="AX34" i="3"/>
  <c r="L34" i="3"/>
  <c r="K34" i="3"/>
  <c r="J34" i="3"/>
  <c r="G34" i="3"/>
  <c r="F34" i="3"/>
  <c r="DJ33" i="3"/>
  <c r="DI33" i="3"/>
  <c r="DH33" i="3"/>
  <c r="DG33" i="3"/>
  <c r="DF33" i="3"/>
  <c r="DE33" i="3"/>
  <c r="DD33" i="3"/>
  <c r="DC33" i="3"/>
  <c r="DB33" i="3"/>
  <c r="DA33" i="3"/>
  <c r="CY33" i="3"/>
  <c r="CX33" i="3"/>
  <c r="CW33" i="3"/>
  <c r="CV33" i="3"/>
  <c r="CU33" i="3"/>
  <c r="CT33" i="3"/>
  <c r="CS33" i="3"/>
  <c r="CR33" i="3"/>
  <c r="CQ33" i="3"/>
  <c r="CP33" i="3"/>
  <c r="CN33" i="3"/>
  <c r="CM33" i="3"/>
  <c r="CL33" i="3"/>
  <c r="CK33" i="3"/>
  <c r="CJ33" i="3"/>
  <c r="CI33" i="3"/>
  <c r="CH33" i="3"/>
  <c r="CG33" i="3"/>
  <c r="CF33" i="3"/>
  <c r="CE33" i="3"/>
  <c r="AX33" i="3"/>
  <c r="L33" i="3"/>
  <c r="K33" i="3"/>
  <c r="J33" i="3"/>
  <c r="G33" i="3"/>
  <c r="F33" i="3"/>
  <c r="DJ32" i="3"/>
  <c r="DI32" i="3"/>
  <c r="DH32" i="3"/>
  <c r="DG32" i="3"/>
  <c r="DF32" i="3"/>
  <c r="DE32" i="3"/>
  <c r="DD32" i="3"/>
  <c r="DC32" i="3"/>
  <c r="DB32" i="3"/>
  <c r="DA32" i="3"/>
  <c r="CY32" i="3"/>
  <c r="CX32" i="3"/>
  <c r="CW32" i="3"/>
  <c r="CV32" i="3"/>
  <c r="CU32" i="3"/>
  <c r="CT32" i="3"/>
  <c r="CS32" i="3"/>
  <c r="CR32" i="3"/>
  <c r="CQ32" i="3"/>
  <c r="CP32" i="3"/>
  <c r="CN32" i="3"/>
  <c r="CM32" i="3"/>
  <c r="CL32" i="3"/>
  <c r="CK32" i="3"/>
  <c r="CJ32" i="3"/>
  <c r="CI32" i="3"/>
  <c r="CH32" i="3"/>
  <c r="CG32" i="3"/>
  <c r="CF32" i="3"/>
  <c r="CE32" i="3"/>
  <c r="AX32" i="3"/>
  <c r="L32" i="3"/>
  <c r="K32" i="3"/>
  <c r="J32" i="3"/>
  <c r="G32" i="3"/>
  <c r="F32" i="3"/>
  <c r="DJ31" i="3"/>
  <c r="DI31" i="3"/>
  <c r="DH31" i="3"/>
  <c r="DG31" i="3"/>
  <c r="DF31" i="3"/>
  <c r="DE31" i="3"/>
  <c r="DD31" i="3"/>
  <c r="DC31" i="3"/>
  <c r="DB31" i="3"/>
  <c r="DA31" i="3"/>
  <c r="CY31" i="3"/>
  <c r="CX31" i="3"/>
  <c r="CW31" i="3"/>
  <c r="CV31" i="3"/>
  <c r="CU31" i="3"/>
  <c r="CT31" i="3"/>
  <c r="CS31" i="3"/>
  <c r="CR31" i="3"/>
  <c r="CQ31" i="3"/>
  <c r="CP31" i="3"/>
  <c r="CN31" i="3"/>
  <c r="CM31" i="3"/>
  <c r="CL31" i="3"/>
  <c r="CK31" i="3"/>
  <c r="CJ31" i="3"/>
  <c r="CI31" i="3"/>
  <c r="CH31" i="3"/>
  <c r="CG31" i="3"/>
  <c r="CF31" i="3"/>
  <c r="CE31" i="3"/>
  <c r="AX31" i="3"/>
  <c r="L31" i="3"/>
  <c r="K31" i="3"/>
  <c r="J31" i="3"/>
  <c r="G31" i="3"/>
  <c r="F31" i="3"/>
  <c r="DJ30" i="3"/>
  <c r="DI30" i="3"/>
  <c r="DH30" i="3"/>
  <c r="DG30" i="3"/>
  <c r="DF30" i="3"/>
  <c r="DE30" i="3"/>
  <c r="DD30" i="3"/>
  <c r="DC30" i="3"/>
  <c r="DB30" i="3"/>
  <c r="DA30" i="3"/>
  <c r="CY30" i="3"/>
  <c r="CX30" i="3"/>
  <c r="CW30" i="3"/>
  <c r="CV30" i="3"/>
  <c r="CU30" i="3"/>
  <c r="CT30" i="3"/>
  <c r="CS30" i="3"/>
  <c r="CR30" i="3"/>
  <c r="CQ30" i="3"/>
  <c r="CP30" i="3"/>
  <c r="CN30" i="3"/>
  <c r="CM30" i="3"/>
  <c r="CL30" i="3"/>
  <c r="CK30" i="3"/>
  <c r="CJ30" i="3"/>
  <c r="CI30" i="3"/>
  <c r="CH30" i="3"/>
  <c r="CG30" i="3"/>
  <c r="CF30" i="3"/>
  <c r="CE30" i="3"/>
  <c r="AX30" i="3"/>
  <c r="L30" i="3"/>
  <c r="K30" i="3"/>
  <c r="J30" i="3"/>
  <c r="G30" i="3"/>
  <c r="F30" i="3"/>
  <c r="DJ29" i="3"/>
  <c r="DI29" i="3"/>
  <c r="DH29" i="3"/>
  <c r="DG29" i="3"/>
  <c r="DF29" i="3"/>
  <c r="DE29" i="3"/>
  <c r="DD29" i="3"/>
  <c r="DC29" i="3"/>
  <c r="DB29" i="3"/>
  <c r="DA29" i="3"/>
  <c r="CY29" i="3"/>
  <c r="CX29" i="3"/>
  <c r="CW29" i="3"/>
  <c r="CV29" i="3"/>
  <c r="CU29" i="3"/>
  <c r="CT29" i="3"/>
  <c r="CS29" i="3"/>
  <c r="CR29" i="3"/>
  <c r="CQ29" i="3"/>
  <c r="CP29" i="3"/>
  <c r="CN29" i="3"/>
  <c r="CM29" i="3"/>
  <c r="CL29" i="3"/>
  <c r="CK29" i="3"/>
  <c r="CJ29" i="3"/>
  <c r="CI29" i="3"/>
  <c r="CH29" i="3"/>
  <c r="CG29" i="3"/>
  <c r="CF29" i="3"/>
  <c r="CE29" i="3"/>
  <c r="AX29" i="3"/>
  <c r="L29" i="3"/>
  <c r="K29" i="3"/>
  <c r="J29" i="3"/>
  <c r="G29" i="3"/>
  <c r="F29" i="3"/>
  <c r="DJ28" i="3"/>
  <c r="DI28" i="3"/>
  <c r="DH28" i="3"/>
  <c r="DG28" i="3"/>
  <c r="DF28" i="3"/>
  <c r="DE28" i="3"/>
  <c r="DD28" i="3"/>
  <c r="DC28" i="3"/>
  <c r="DB28" i="3"/>
  <c r="DA28" i="3"/>
  <c r="CY28" i="3"/>
  <c r="CX28" i="3"/>
  <c r="CW28" i="3"/>
  <c r="CV28" i="3"/>
  <c r="CU28" i="3"/>
  <c r="CT28" i="3"/>
  <c r="CS28" i="3"/>
  <c r="CR28" i="3"/>
  <c r="CQ28" i="3"/>
  <c r="CP28" i="3"/>
  <c r="CN28" i="3"/>
  <c r="CM28" i="3"/>
  <c r="CL28" i="3"/>
  <c r="CK28" i="3"/>
  <c r="CJ28" i="3"/>
  <c r="CI28" i="3"/>
  <c r="CH28" i="3"/>
  <c r="CG28" i="3"/>
  <c r="CF28" i="3"/>
  <c r="CE28" i="3"/>
  <c r="AX28" i="3"/>
  <c r="L28" i="3"/>
  <c r="K28" i="3"/>
  <c r="J28" i="3"/>
  <c r="G28" i="3"/>
  <c r="F28" i="3"/>
  <c r="DJ27" i="3"/>
  <c r="DI27" i="3"/>
  <c r="DH27" i="3"/>
  <c r="DG27" i="3"/>
  <c r="DF27" i="3"/>
  <c r="DE27" i="3"/>
  <c r="DD27" i="3"/>
  <c r="DC27" i="3"/>
  <c r="DB27" i="3"/>
  <c r="DA27" i="3"/>
  <c r="CY27" i="3"/>
  <c r="CX27" i="3"/>
  <c r="CW27" i="3"/>
  <c r="CV27" i="3"/>
  <c r="CU27" i="3"/>
  <c r="CT27" i="3"/>
  <c r="CS27" i="3"/>
  <c r="CR27" i="3"/>
  <c r="CQ27" i="3"/>
  <c r="CP27" i="3"/>
  <c r="CN27" i="3"/>
  <c r="CM27" i="3"/>
  <c r="CL27" i="3"/>
  <c r="CK27" i="3"/>
  <c r="CJ27" i="3"/>
  <c r="CI27" i="3"/>
  <c r="CH27" i="3"/>
  <c r="CG27" i="3"/>
  <c r="CF27" i="3"/>
  <c r="CE27" i="3"/>
  <c r="AX27" i="3"/>
  <c r="L27" i="3"/>
  <c r="K27" i="3"/>
  <c r="J27" i="3"/>
  <c r="G27" i="3"/>
  <c r="F27" i="3"/>
  <c r="DJ26" i="3"/>
  <c r="DI26" i="3"/>
  <c r="DH26" i="3"/>
  <c r="DG26" i="3"/>
  <c r="DF26" i="3"/>
  <c r="DE26" i="3"/>
  <c r="DD26" i="3"/>
  <c r="DC26" i="3"/>
  <c r="DB26" i="3"/>
  <c r="DA26" i="3"/>
  <c r="CY26" i="3"/>
  <c r="CX26" i="3"/>
  <c r="CW26" i="3"/>
  <c r="CV26" i="3"/>
  <c r="CU26" i="3"/>
  <c r="CT26" i="3"/>
  <c r="CS26" i="3"/>
  <c r="CR26" i="3"/>
  <c r="CQ26" i="3"/>
  <c r="CP26" i="3"/>
  <c r="CN26" i="3"/>
  <c r="CM26" i="3"/>
  <c r="CL26" i="3"/>
  <c r="CK26" i="3"/>
  <c r="CJ26" i="3"/>
  <c r="CI26" i="3"/>
  <c r="CH26" i="3"/>
  <c r="CG26" i="3"/>
  <c r="CF26" i="3"/>
  <c r="CE26" i="3"/>
  <c r="AX26" i="3"/>
  <c r="L26" i="3"/>
  <c r="K26" i="3"/>
  <c r="J26" i="3"/>
  <c r="G26" i="3"/>
  <c r="F26" i="3"/>
  <c r="DJ25" i="3"/>
  <c r="DI25" i="3"/>
  <c r="DH25" i="3"/>
  <c r="DG25" i="3"/>
  <c r="DF25" i="3"/>
  <c r="DE25" i="3"/>
  <c r="DD25" i="3"/>
  <c r="DC25" i="3"/>
  <c r="DB25" i="3"/>
  <c r="DA25" i="3"/>
  <c r="CY25" i="3"/>
  <c r="CX25" i="3"/>
  <c r="CW25" i="3"/>
  <c r="CV25" i="3"/>
  <c r="CU25" i="3"/>
  <c r="CT25" i="3"/>
  <c r="CS25" i="3"/>
  <c r="CR25" i="3"/>
  <c r="CQ25" i="3"/>
  <c r="CP25" i="3"/>
  <c r="CN25" i="3"/>
  <c r="CM25" i="3"/>
  <c r="CL25" i="3"/>
  <c r="CK25" i="3"/>
  <c r="CJ25" i="3"/>
  <c r="CI25" i="3"/>
  <c r="CH25" i="3"/>
  <c r="CG25" i="3"/>
  <c r="CF25" i="3"/>
  <c r="CE25" i="3"/>
  <c r="AX25" i="3"/>
  <c r="L25" i="3"/>
  <c r="K25" i="3"/>
  <c r="J25" i="3"/>
  <c r="G25" i="3"/>
  <c r="F25" i="3"/>
  <c r="DJ24" i="3"/>
  <c r="DI24" i="3"/>
  <c r="DH24" i="3"/>
  <c r="DG24" i="3"/>
  <c r="DF24" i="3"/>
  <c r="DE24" i="3"/>
  <c r="DD24" i="3"/>
  <c r="DC24" i="3"/>
  <c r="DB24" i="3"/>
  <c r="DA24" i="3"/>
  <c r="CY24" i="3"/>
  <c r="CX24" i="3"/>
  <c r="CW24" i="3"/>
  <c r="CV24" i="3"/>
  <c r="CU24" i="3"/>
  <c r="CT24" i="3"/>
  <c r="CS24" i="3"/>
  <c r="CR24" i="3"/>
  <c r="CQ24" i="3"/>
  <c r="CP24" i="3"/>
  <c r="CN24" i="3"/>
  <c r="CM24" i="3"/>
  <c r="CL24" i="3"/>
  <c r="CK24" i="3"/>
  <c r="CJ24" i="3"/>
  <c r="CI24" i="3"/>
  <c r="CH24" i="3"/>
  <c r="CG24" i="3"/>
  <c r="CF24" i="3"/>
  <c r="CE24" i="3"/>
  <c r="AX24" i="3"/>
  <c r="L24" i="3"/>
  <c r="K24" i="3"/>
  <c r="J24" i="3"/>
  <c r="G24" i="3"/>
  <c r="F24" i="3"/>
  <c r="DJ23" i="3"/>
  <c r="DI23" i="3"/>
  <c r="DH23" i="3"/>
  <c r="DG23" i="3"/>
  <c r="DF23" i="3"/>
  <c r="DE23" i="3"/>
  <c r="DD23" i="3"/>
  <c r="DC23" i="3"/>
  <c r="DB23" i="3"/>
  <c r="DA23" i="3"/>
  <c r="CY23" i="3"/>
  <c r="CX23" i="3"/>
  <c r="CW23" i="3"/>
  <c r="CV23" i="3"/>
  <c r="CU23" i="3"/>
  <c r="CT23" i="3"/>
  <c r="CS23" i="3"/>
  <c r="CR23" i="3"/>
  <c r="CQ23" i="3"/>
  <c r="CP23" i="3"/>
  <c r="CN23" i="3"/>
  <c r="CM23" i="3"/>
  <c r="CL23" i="3"/>
  <c r="CK23" i="3"/>
  <c r="CJ23" i="3"/>
  <c r="CI23" i="3"/>
  <c r="CH23" i="3"/>
  <c r="CG23" i="3"/>
  <c r="CF23" i="3"/>
  <c r="CE23" i="3"/>
  <c r="AX23" i="3"/>
  <c r="L23" i="3"/>
  <c r="K23" i="3"/>
  <c r="J23" i="3"/>
  <c r="G23" i="3"/>
  <c r="F23" i="3"/>
  <c r="DJ22" i="3"/>
  <c r="DI22" i="3"/>
  <c r="DH22" i="3"/>
  <c r="DG22" i="3"/>
  <c r="DF22" i="3"/>
  <c r="DE22" i="3"/>
  <c r="DD22" i="3"/>
  <c r="DC22" i="3"/>
  <c r="DB22" i="3"/>
  <c r="DA22" i="3"/>
  <c r="CY22" i="3"/>
  <c r="CX22" i="3"/>
  <c r="CW22" i="3"/>
  <c r="CV22" i="3"/>
  <c r="CU22" i="3"/>
  <c r="CT22" i="3"/>
  <c r="CS22" i="3"/>
  <c r="CR22" i="3"/>
  <c r="CQ22" i="3"/>
  <c r="CP22" i="3"/>
  <c r="CN22" i="3"/>
  <c r="CM22" i="3"/>
  <c r="CL22" i="3"/>
  <c r="CK22" i="3"/>
  <c r="CJ22" i="3"/>
  <c r="CI22" i="3"/>
  <c r="CH22" i="3"/>
  <c r="CG22" i="3"/>
  <c r="CF22" i="3"/>
  <c r="CE22" i="3"/>
  <c r="AX22" i="3"/>
  <c r="L22" i="3"/>
  <c r="K22" i="3"/>
  <c r="J22" i="3"/>
  <c r="G22" i="3"/>
  <c r="F22" i="3"/>
  <c r="DJ21" i="3"/>
  <c r="DI21" i="3"/>
  <c r="DH21" i="3"/>
  <c r="DG21" i="3"/>
  <c r="DF21" i="3"/>
  <c r="DE21" i="3"/>
  <c r="DD21" i="3"/>
  <c r="DC21" i="3"/>
  <c r="DB21" i="3"/>
  <c r="DA21" i="3"/>
  <c r="CY21" i="3"/>
  <c r="CX21" i="3"/>
  <c r="CW21" i="3"/>
  <c r="CV21" i="3"/>
  <c r="CU21" i="3"/>
  <c r="CT21" i="3"/>
  <c r="CS21" i="3"/>
  <c r="CR21" i="3"/>
  <c r="CQ21" i="3"/>
  <c r="CP21" i="3"/>
  <c r="CN21" i="3"/>
  <c r="CM21" i="3"/>
  <c r="CL21" i="3"/>
  <c r="CK21" i="3"/>
  <c r="CJ21" i="3"/>
  <c r="CI21" i="3"/>
  <c r="CH21" i="3"/>
  <c r="CG21" i="3"/>
  <c r="CF21" i="3"/>
  <c r="CE21" i="3"/>
  <c r="AX21" i="3"/>
  <c r="L21" i="3"/>
  <c r="K21" i="3"/>
  <c r="J21" i="3"/>
  <c r="G21" i="3"/>
  <c r="F21" i="3"/>
  <c r="DJ20" i="3"/>
  <c r="DI20" i="3"/>
  <c r="DH20" i="3"/>
  <c r="DG20" i="3"/>
  <c r="DF20" i="3"/>
  <c r="DE20" i="3"/>
  <c r="DD20" i="3"/>
  <c r="DC20" i="3"/>
  <c r="DB20" i="3"/>
  <c r="DA20" i="3"/>
  <c r="CY20" i="3"/>
  <c r="CX20" i="3"/>
  <c r="CW20" i="3"/>
  <c r="CV20" i="3"/>
  <c r="CU20" i="3"/>
  <c r="CT20" i="3"/>
  <c r="CS20" i="3"/>
  <c r="CR20" i="3"/>
  <c r="CQ20" i="3"/>
  <c r="CP20" i="3"/>
  <c r="CN20" i="3"/>
  <c r="CM20" i="3"/>
  <c r="CL20" i="3"/>
  <c r="CK20" i="3"/>
  <c r="CJ20" i="3"/>
  <c r="CI20" i="3"/>
  <c r="CH20" i="3"/>
  <c r="CG20" i="3"/>
  <c r="CF20" i="3"/>
  <c r="CE20" i="3"/>
  <c r="AX20" i="3"/>
  <c r="L20" i="3"/>
  <c r="K20" i="3"/>
  <c r="J20" i="3"/>
  <c r="G20" i="3"/>
  <c r="F20" i="3"/>
  <c r="DJ19" i="3"/>
  <c r="DI19" i="3"/>
  <c r="DH19" i="3"/>
  <c r="DG19" i="3"/>
  <c r="DF19" i="3"/>
  <c r="DE19" i="3"/>
  <c r="DD19" i="3"/>
  <c r="DC19" i="3"/>
  <c r="DB19" i="3"/>
  <c r="DA19" i="3"/>
  <c r="CY19" i="3"/>
  <c r="CX19" i="3"/>
  <c r="CW19" i="3"/>
  <c r="CV19" i="3"/>
  <c r="CU19" i="3"/>
  <c r="CT19" i="3"/>
  <c r="CS19" i="3"/>
  <c r="CR19" i="3"/>
  <c r="CQ19" i="3"/>
  <c r="CP19" i="3"/>
  <c r="CN19" i="3"/>
  <c r="CM19" i="3"/>
  <c r="CL19" i="3"/>
  <c r="CK19" i="3"/>
  <c r="CJ19" i="3"/>
  <c r="CI19" i="3"/>
  <c r="CH19" i="3"/>
  <c r="CG19" i="3"/>
  <c r="CF19" i="3"/>
  <c r="CE19" i="3"/>
  <c r="AX19" i="3"/>
  <c r="L19" i="3"/>
  <c r="K19" i="3"/>
  <c r="J19" i="3"/>
  <c r="G19" i="3"/>
  <c r="F19" i="3"/>
  <c r="DJ18" i="3"/>
  <c r="DI18" i="3"/>
  <c r="DH18" i="3"/>
  <c r="DG18" i="3"/>
  <c r="DF18" i="3"/>
  <c r="DE18" i="3"/>
  <c r="DD18" i="3"/>
  <c r="DC18" i="3"/>
  <c r="DB18" i="3"/>
  <c r="DA18" i="3"/>
  <c r="CY18" i="3"/>
  <c r="CX18" i="3"/>
  <c r="CW18" i="3"/>
  <c r="CV18" i="3"/>
  <c r="CU18" i="3"/>
  <c r="CT18" i="3"/>
  <c r="CS18" i="3"/>
  <c r="CR18" i="3"/>
  <c r="CQ18" i="3"/>
  <c r="CP18" i="3"/>
  <c r="CN18" i="3"/>
  <c r="CM18" i="3"/>
  <c r="CL18" i="3"/>
  <c r="CK18" i="3"/>
  <c r="CJ18" i="3"/>
  <c r="CI18" i="3"/>
  <c r="CH18" i="3"/>
  <c r="CG18" i="3"/>
  <c r="CF18" i="3"/>
  <c r="CE18" i="3"/>
  <c r="AX18" i="3"/>
  <c r="L18" i="3"/>
  <c r="K18" i="3"/>
  <c r="J18" i="3"/>
  <c r="G18" i="3"/>
  <c r="F18" i="3"/>
  <c r="DJ17" i="3"/>
  <c r="DI17" i="3"/>
  <c r="DH17" i="3"/>
  <c r="DG17" i="3"/>
  <c r="DF17" i="3"/>
  <c r="DE17" i="3"/>
  <c r="DD17" i="3"/>
  <c r="DC17" i="3"/>
  <c r="DB17" i="3"/>
  <c r="DA17" i="3"/>
  <c r="CY17" i="3"/>
  <c r="CX17" i="3"/>
  <c r="CW17" i="3"/>
  <c r="CV17" i="3"/>
  <c r="CU17" i="3"/>
  <c r="CT17" i="3"/>
  <c r="CS17" i="3"/>
  <c r="CR17" i="3"/>
  <c r="CQ17" i="3"/>
  <c r="CP17" i="3"/>
  <c r="CN17" i="3"/>
  <c r="CM17" i="3"/>
  <c r="CL17" i="3"/>
  <c r="CK17" i="3"/>
  <c r="CJ17" i="3"/>
  <c r="CI17" i="3"/>
  <c r="CH17" i="3"/>
  <c r="CG17" i="3"/>
  <c r="CF17" i="3"/>
  <c r="CE17" i="3"/>
  <c r="AX17" i="3"/>
  <c r="L17" i="3"/>
  <c r="K17" i="3"/>
  <c r="J17" i="3"/>
  <c r="G17" i="3"/>
  <c r="F17" i="3"/>
  <c r="DJ16" i="3"/>
  <c r="DI16" i="3"/>
  <c r="DH16" i="3"/>
  <c r="DG16" i="3"/>
  <c r="DF16" i="3"/>
  <c r="DE16" i="3"/>
  <c r="DD16" i="3"/>
  <c r="DC16" i="3"/>
  <c r="DB16" i="3"/>
  <c r="DA16" i="3"/>
  <c r="CY16" i="3"/>
  <c r="CX16" i="3"/>
  <c r="CW16" i="3"/>
  <c r="CV16" i="3"/>
  <c r="CU16" i="3"/>
  <c r="CT16" i="3"/>
  <c r="CS16" i="3"/>
  <c r="CR16" i="3"/>
  <c r="CQ16" i="3"/>
  <c r="CP16" i="3"/>
  <c r="CN16" i="3"/>
  <c r="CM16" i="3"/>
  <c r="CL16" i="3"/>
  <c r="CK16" i="3"/>
  <c r="CJ16" i="3"/>
  <c r="CI16" i="3"/>
  <c r="CH16" i="3"/>
  <c r="CG16" i="3"/>
  <c r="CF16" i="3"/>
  <c r="CE16" i="3"/>
  <c r="AX16" i="3"/>
  <c r="L16" i="3"/>
  <c r="K16" i="3"/>
  <c r="J16" i="3"/>
  <c r="G16" i="3"/>
  <c r="F16" i="3"/>
  <c r="DJ15" i="3"/>
  <c r="DI15" i="3"/>
  <c r="DH15" i="3"/>
  <c r="DG15" i="3"/>
  <c r="DF15" i="3"/>
  <c r="DE15" i="3"/>
  <c r="DD15" i="3"/>
  <c r="DC15" i="3"/>
  <c r="DB15" i="3"/>
  <c r="DA15" i="3"/>
  <c r="CY15" i="3"/>
  <c r="CX15" i="3"/>
  <c r="CW15" i="3"/>
  <c r="CV15" i="3"/>
  <c r="CU15" i="3"/>
  <c r="CT15" i="3"/>
  <c r="CS15" i="3"/>
  <c r="CR15" i="3"/>
  <c r="CQ15" i="3"/>
  <c r="CP15" i="3"/>
  <c r="CN15" i="3"/>
  <c r="CM15" i="3"/>
  <c r="CL15" i="3"/>
  <c r="CK15" i="3"/>
  <c r="CJ15" i="3"/>
  <c r="CI15" i="3"/>
  <c r="CH15" i="3"/>
  <c r="CG15" i="3"/>
  <c r="CF15" i="3"/>
  <c r="CE15" i="3"/>
  <c r="AX15" i="3"/>
  <c r="L15" i="3"/>
  <c r="K15" i="3"/>
  <c r="J15" i="3"/>
  <c r="G15" i="3"/>
  <c r="F15" i="3"/>
  <c r="DJ14" i="3"/>
  <c r="DI14" i="3"/>
  <c r="DH14" i="3"/>
  <c r="DG14" i="3"/>
  <c r="DF14" i="3"/>
  <c r="DE14" i="3"/>
  <c r="DD14" i="3"/>
  <c r="DC14" i="3"/>
  <c r="DB14" i="3"/>
  <c r="DA14" i="3"/>
  <c r="CY14" i="3"/>
  <c r="CX14" i="3"/>
  <c r="CW14" i="3"/>
  <c r="CV14" i="3"/>
  <c r="CU14" i="3"/>
  <c r="CT14" i="3"/>
  <c r="CS14" i="3"/>
  <c r="CR14" i="3"/>
  <c r="CQ14" i="3"/>
  <c r="CP14" i="3"/>
  <c r="CN14" i="3"/>
  <c r="CM14" i="3"/>
  <c r="CL14" i="3"/>
  <c r="CK14" i="3"/>
  <c r="CJ14" i="3"/>
  <c r="CI14" i="3"/>
  <c r="CH14" i="3"/>
  <c r="CG14" i="3"/>
  <c r="CF14" i="3"/>
  <c r="CE14" i="3"/>
  <c r="AX14" i="3"/>
  <c r="L14" i="3"/>
  <c r="K14" i="3"/>
  <c r="J14" i="3"/>
  <c r="G14" i="3"/>
  <c r="F14" i="3"/>
  <c r="DJ13" i="3"/>
  <c r="DI13" i="3"/>
  <c r="DH13" i="3"/>
  <c r="DG13" i="3"/>
  <c r="DF13" i="3"/>
  <c r="DE13" i="3"/>
  <c r="DD13" i="3"/>
  <c r="DC13" i="3"/>
  <c r="DB13" i="3"/>
  <c r="DA13" i="3"/>
  <c r="CY13" i="3"/>
  <c r="CX13" i="3"/>
  <c r="CW13" i="3"/>
  <c r="CV13" i="3"/>
  <c r="CU13" i="3"/>
  <c r="CT13" i="3"/>
  <c r="CS13" i="3"/>
  <c r="CR13" i="3"/>
  <c r="CQ13" i="3"/>
  <c r="CP13" i="3"/>
  <c r="CN13" i="3"/>
  <c r="CM13" i="3"/>
  <c r="CL13" i="3"/>
  <c r="CK13" i="3"/>
  <c r="CJ13" i="3"/>
  <c r="CI13" i="3"/>
  <c r="CH13" i="3"/>
  <c r="CG13" i="3"/>
  <c r="CF13" i="3"/>
  <c r="CE13" i="3"/>
  <c r="AX13" i="3"/>
  <c r="L13" i="3"/>
  <c r="K13" i="3"/>
  <c r="J13" i="3"/>
  <c r="G13" i="3"/>
  <c r="F13" i="3"/>
  <c r="DJ12" i="3"/>
  <c r="DI12" i="3"/>
  <c r="DH12" i="3"/>
  <c r="DG12" i="3"/>
  <c r="DF12" i="3"/>
  <c r="DE12" i="3"/>
  <c r="DD12" i="3"/>
  <c r="DC12" i="3"/>
  <c r="DB12" i="3"/>
  <c r="DA12" i="3"/>
  <c r="CY12" i="3"/>
  <c r="CX12" i="3"/>
  <c r="CW12" i="3"/>
  <c r="CV12" i="3"/>
  <c r="CU12" i="3"/>
  <c r="CT12" i="3"/>
  <c r="CS12" i="3"/>
  <c r="CR12" i="3"/>
  <c r="CQ12" i="3"/>
  <c r="CP12" i="3"/>
  <c r="CN12" i="3"/>
  <c r="CM12" i="3"/>
  <c r="CL12" i="3"/>
  <c r="CK12" i="3"/>
  <c r="CJ12" i="3"/>
  <c r="CI12" i="3"/>
  <c r="CH12" i="3"/>
  <c r="CG12" i="3"/>
  <c r="CF12" i="3"/>
  <c r="CE12" i="3"/>
  <c r="AX12" i="3"/>
  <c r="L12" i="3"/>
  <c r="K12" i="3"/>
  <c r="J12" i="3"/>
  <c r="G12" i="3"/>
  <c r="F12" i="3"/>
  <c r="DJ11" i="3"/>
  <c r="DI11" i="3"/>
  <c r="DH11" i="3"/>
  <c r="DG11" i="3"/>
  <c r="DF11" i="3"/>
  <c r="DE11" i="3"/>
  <c r="DD11" i="3"/>
  <c r="DC11" i="3"/>
  <c r="DB11" i="3"/>
  <c r="DA11" i="3"/>
  <c r="CY11" i="3"/>
  <c r="CX11" i="3"/>
  <c r="CW11" i="3"/>
  <c r="CV11" i="3"/>
  <c r="CU11" i="3"/>
  <c r="CT11" i="3"/>
  <c r="CS11" i="3"/>
  <c r="CR11" i="3"/>
  <c r="CQ11" i="3"/>
  <c r="CP11" i="3"/>
  <c r="CN11" i="3"/>
  <c r="CM11" i="3"/>
  <c r="CL11" i="3"/>
  <c r="CK11" i="3"/>
  <c r="CJ11" i="3"/>
  <c r="CI11" i="3"/>
  <c r="CH11" i="3"/>
  <c r="CG11" i="3"/>
  <c r="CF11" i="3"/>
  <c r="CE11" i="3"/>
  <c r="AX11" i="3"/>
  <c r="L11" i="3"/>
  <c r="K11" i="3"/>
  <c r="J11" i="3"/>
  <c r="G11" i="3"/>
  <c r="F11" i="3"/>
  <c r="DJ10" i="3"/>
  <c r="DI10" i="3"/>
  <c r="DH10" i="3"/>
  <c r="DG10" i="3"/>
  <c r="DF10" i="3"/>
  <c r="DE10" i="3"/>
  <c r="DD10" i="3"/>
  <c r="DC10" i="3"/>
  <c r="DB10" i="3"/>
  <c r="DA10" i="3"/>
  <c r="CY10" i="3"/>
  <c r="CX10" i="3"/>
  <c r="CW10" i="3"/>
  <c r="CV10" i="3"/>
  <c r="CU10" i="3"/>
  <c r="CT10" i="3"/>
  <c r="CS10" i="3"/>
  <c r="CR10" i="3"/>
  <c r="CQ10" i="3"/>
  <c r="CP10" i="3"/>
  <c r="CN10" i="3"/>
  <c r="CM10" i="3"/>
  <c r="CL10" i="3"/>
  <c r="CK10" i="3"/>
  <c r="CJ10" i="3"/>
  <c r="CI10" i="3"/>
  <c r="CH10" i="3"/>
  <c r="CG10" i="3"/>
  <c r="CF10" i="3"/>
  <c r="CE10" i="3"/>
  <c r="AX10" i="3"/>
  <c r="L10" i="3"/>
  <c r="K10" i="3"/>
  <c r="J10" i="3"/>
  <c r="G10" i="3"/>
  <c r="F10" i="3"/>
  <c r="DJ9" i="3"/>
  <c r="DI9" i="3"/>
  <c r="DH9" i="3"/>
  <c r="DG9" i="3"/>
  <c r="DF9" i="3"/>
  <c r="DE9" i="3"/>
  <c r="DD9" i="3"/>
  <c r="DC9" i="3"/>
  <c r="DB9" i="3"/>
  <c r="DA9" i="3"/>
  <c r="CY9" i="3"/>
  <c r="CX9" i="3"/>
  <c r="CW9" i="3"/>
  <c r="CV9" i="3"/>
  <c r="CU9" i="3"/>
  <c r="CT9" i="3"/>
  <c r="CS9" i="3"/>
  <c r="CR9" i="3"/>
  <c r="CQ9" i="3"/>
  <c r="CP9" i="3"/>
  <c r="CN9" i="3"/>
  <c r="CM9" i="3"/>
  <c r="CL9" i="3"/>
  <c r="CK9" i="3"/>
  <c r="CJ9" i="3"/>
  <c r="CI9" i="3"/>
  <c r="CH9" i="3"/>
  <c r="CG9" i="3"/>
  <c r="CF9" i="3"/>
  <c r="CE9" i="3"/>
  <c r="AX9" i="3"/>
  <c r="L9" i="3"/>
  <c r="K9" i="3"/>
  <c r="J9" i="3"/>
  <c r="G9" i="3"/>
  <c r="F9" i="3"/>
  <c r="DJ8" i="3"/>
  <c r="DI8" i="3"/>
  <c r="DH8" i="3"/>
  <c r="DG8" i="3"/>
  <c r="DF8" i="3"/>
  <c r="DE8" i="3"/>
  <c r="DD8" i="3"/>
  <c r="DC8" i="3"/>
  <c r="DB8" i="3"/>
  <c r="DA8" i="3"/>
  <c r="CY8" i="3"/>
  <c r="CX8" i="3"/>
  <c r="CW8" i="3"/>
  <c r="CV8" i="3"/>
  <c r="CU8" i="3"/>
  <c r="CT8" i="3"/>
  <c r="CS8" i="3"/>
  <c r="CR8" i="3"/>
  <c r="CQ8" i="3"/>
  <c r="CP8" i="3"/>
  <c r="CN8" i="3"/>
  <c r="CM8" i="3"/>
  <c r="CL8" i="3"/>
  <c r="CK8" i="3"/>
  <c r="CJ8" i="3"/>
  <c r="CI8" i="3"/>
  <c r="CH8" i="3"/>
  <c r="CG8" i="3"/>
  <c r="CF8" i="3"/>
  <c r="CE8" i="3"/>
  <c r="AX8" i="3"/>
  <c r="L8" i="3"/>
  <c r="K8" i="3"/>
  <c r="J8" i="3"/>
  <c r="G8" i="3"/>
  <c r="F8" i="3"/>
  <c r="DJ7" i="3"/>
  <c r="DI7" i="3"/>
  <c r="DH7" i="3"/>
  <c r="DG7" i="3"/>
  <c r="DF7" i="3"/>
  <c r="DE7" i="3"/>
  <c r="DD7" i="3"/>
  <c r="DC7" i="3"/>
  <c r="DB7" i="3"/>
  <c r="DA7" i="3"/>
  <c r="CY7" i="3"/>
  <c r="CX7" i="3"/>
  <c r="CW7" i="3"/>
  <c r="CV7" i="3"/>
  <c r="CU7" i="3"/>
  <c r="CT7" i="3"/>
  <c r="CS7" i="3"/>
  <c r="CR7" i="3"/>
  <c r="CQ7" i="3"/>
  <c r="CP7" i="3"/>
  <c r="CN7" i="3"/>
  <c r="CM7" i="3"/>
  <c r="CL7" i="3"/>
  <c r="CK7" i="3"/>
  <c r="CJ7" i="3"/>
  <c r="CI7" i="3"/>
  <c r="CH7" i="3"/>
  <c r="CG7" i="3"/>
  <c r="CF7" i="3"/>
  <c r="CE7" i="3"/>
  <c r="AX7" i="3"/>
  <c r="L7" i="3"/>
  <c r="K7" i="3"/>
  <c r="J7" i="3"/>
  <c r="G7" i="3"/>
  <c r="F7" i="3"/>
  <c r="B7" i="3"/>
  <c r="N3" i="3"/>
  <c r="K3" i="3"/>
  <c r="G3" i="3"/>
  <c r="G2" i="3"/>
  <c r="P411" i="1"/>
  <c r="P409" i="1"/>
  <c r="P407" i="1"/>
  <c r="P401" i="1"/>
  <c r="P399" i="1"/>
  <c r="P397" i="1"/>
  <c r="L396" i="1"/>
  <c r="P395" i="1"/>
  <c r="L395" i="1"/>
  <c r="P391" i="1"/>
  <c r="P389" i="1"/>
  <c r="P387" i="1"/>
  <c r="L386" i="1"/>
  <c r="P385" i="1"/>
  <c r="L385" i="1"/>
  <c r="P381" i="1"/>
  <c r="P379" i="1"/>
  <c r="P377" i="1"/>
  <c r="L376" i="1"/>
  <c r="P375" i="1"/>
  <c r="L375" i="1"/>
  <c r="P371" i="1"/>
  <c r="P369" i="1"/>
  <c r="P367" i="1"/>
  <c r="L366" i="1"/>
  <c r="P365" i="1"/>
  <c r="L365" i="1"/>
  <c r="P361" i="1"/>
  <c r="P359" i="1"/>
  <c r="P357" i="1"/>
  <c r="L356" i="1"/>
  <c r="P355" i="1"/>
  <c r="L355" i="1"/>
  <c r="P351" i="1"/>
  <c r="P349" i="1"/>
  <c r="P347" i="1"/>
  <c r="L346" i="1"/>
  <c r="P345" i="1"/>
  <c r="L345" i="1"/>
  <c r="P341" i="1"/>
  <c r="P339" i="1"/>
  <c r="P337" i="1"/>
  <c r="L336" i="1"/>
  <c r="P335" i="1"/>
  <c r="L335" i="1"/>
  <c r="P331" i="1"/>
  <c r="P329" i="1"/>
  <c r="P327" i="1"/>
  <c r="L326" i="1"/>
  <c r="P325" i="1"/>
  <c r="L325" i="1"/>
  <c r="P321" i="1"/>
  <c r="P319" i="1"/>
  <c r="P317" i="1"/>
  <c r="L316" i="1"/>
  <c r="P315" i="1"/>
  <c r="L315" i="1"/>
  <c r="P311" i="1"/>
  <c r="P309" i="1"/>
  <c r="P307" i="1"/>
  <c r="L306" i="1"/>
  <c r="P305" i="1"/>
  <c r="L305" i="1"/>
  <c r="P301" i="1"/>
  <c r="P299" i="1"/>
  <c r="P297" i="1"/>
  <c r="L296" i="1"/>
  <c r="P295" i="1"/>
  <c r="L295" i="1"/>
  <c r="P291" i="1"/>
  <c r="P289" i="1"/>
  <c r="P287" i="1"/>
  <c r="L286" i="1"/>
  <c r="P285" i="1"/>
  <c r="L285" i="1"/>
  <c r="P281" i="1"/>
  <c r="P279" i="1"/>
  <c r="P277" i="1"/>
  <c r="L276" i="1"/>
  <c r="P275" i="1"/>
  <c r="L275" i="1"/>
  <c r="P271" i="1"/>
  <c r="P269" i="1"/>
  <c r="P267" i="1"/>
  <c r="L266" i="1"/>
  <c r="P265" i="1"/>
  <c r="L265" i="1"/>
  <c r="P261" i="1"/>
  <c r="P259" i="1"/>
  <c r="P257" i="1"/>
  <c r="L256" i="1"/>
  <c r="P255" i="1"/>
  <c r="L255" i="1"/>
  <c r="P251" i="1"/>
  <c r="P249" i="1"/>
  <c r="P247" i="1"/>
  <c r="L246" i="1"/>
  <c r="P245" i="1"/>
  <c r="L245" i="1"/>
  <c r="P241" i="1"/>
  <c r="P239" i="1"/>
  <c r="P237" i="1"/>
  <c r="L236" i="1"/>
  <c r="P235" i="1"/>
  <c r="L235" i="1"/>
  <c r="P231" i="1"/>
  <c r="P229" i="1"/>
  <c r="P227" i="1"/>
  <c r="L226" i="1"/>
  <c r="P225" i="1"/>
  <c r="L225" i="1"/>
  <c r="P221" i="1"/>
  <c r="P219" i="1"/>
  <c r="P217" i="1"/>
  <c r="L216" i="1"/>
  <c r="P215" i="1"/>
  <c r="L215" i="1"/>
  <c r="P211" i="1"/>
  <c r="P209" i="1"/>
  <c r="P207" i="1"/>
  <c r="L206" i="1"/>
  <c r="P205" i="1"/>
  <c r="L205" i="1"/>
  <c r="P201" i="1"/>
  <c r="P199" i="1"/>
  <c r="P197" i="1"/>
  <c r="L196" i="1"/>
  <c r="P195" i="1"/>
  <c r="L195" i="1"/>
  <c r="P191" i="1"/>
  <c r="P189" i="1"/>
  <c r="P187" i="1"/>
  <c r="L186" i="1"/>
  <c r="P185" i="1"/>
  <c r="L185" i="1"/>
  <c r="P181" i="1"/>
  <c r="P179" i="1"/>
  <c r="P177" i="1"/>
  <c r="L176" i="1"/>
  <c r="P175" i="1"/>
  <c r="L175" i="1"/>
  <c r="P171" i="1"/>
  <c r="P169" i="1"/>
  <c r="P167" i="1"/>
  <c r="L166" i="1"/>
  <c r="P165" i="1"/>
  <c r="L165" i="1"/>
  <c r="P161" i="1"/>
  <c r="P159" i="1"/>
  <c r="P157" i="1"/>
  <c r="L156" i="1"/>
  <c r="P155" i="1"/>
  <c r="L155" i="1"/>
  <c r="P151" i="1"/>
  <c r="P149" i="1"/>
  <c r="P147" i="1"/>
  <c r="L146" i="1"/>
  <c r="P145" i="1"/>
  <c r="L145" i="1"/>
  <c r="P141" i="1"/>
  <c r="P139" i="1"/>
  <c r="P137" i="1"/>
  <c r="L136" i="1"/>
  <c r="P135" i="1"/>
  <c r="L135" i="1"/>
  <c r="P131" i="1"/>
  <c r="P129" i="1"/>
  <c r="P127" i="1"/>
  <c r="L126" i="1"/>
  <c r="P125" i="1"/>
  <c r="L125" i="1"/>
  <c r="P121" i="1"/>
  <c r="P119" i="1"/>
  <c r="P117" i="1"/>
  <c r="L116" i="1"/>
  <c r="P115" i="1"/>
  <c r="L115" i="1"/>
  <c r="P111" i="1"/>
  <c r="P109" i="1"/>
  <c r="P107" i="1"/>
  <c r="L106" i="1"/>
  <c r="P105" i="1"/>
  <c r="L105" i="1"/>
  <c r="P101" i="1"/>
  <c r="P99" i="1"/>
  <c r="P97" i="1"/>
  <c r="L96" i="1"/>
  <c r="P95" i="1"/>
  <c r="L95" i="1"/>
  <c r="P91" i="1"/>
  <c r="P89" i="1"/>
  <c r="P87" i="1"/>
  <c r="L86" i="1"/>
  <c r="P85" i="1"/>
  <c r="L85" i="1"/>
  <c r="P81" i="1"/>
  <c r="P79" i="1"/>
  <c r="P77" i="1"/>
  <c r="L76" i="1"/>
  <c r="P75" i="1"/>
  <c r="L75" i="1"/>
  <c r="P71" i="1"/>
  <c r="P69" i="1"/>
  <c r="P67" i="1"/>
  <c r="L66" i="1"/>
  <c r="P65" i="1"/>
  <c r="L65" i="1"/>
  <c r="P61" i="1"/>
  <c r="P59" i="1"/>
  <c r="P57" i="1"/>
  <c r="L56" i="1"/>
  <c r="P55" i="1"/>
  <c r="L55" i="1"/>
  <c r="P51" i="1"/>
  <c r="P49" i="1"/>
  <c r="P47" i="1"/>
  <c r="L46" i="1"/>
  <c r="P45" i="1"/>
  <c r="L45" i="1"/>
  <c r="P41" i="1"/>
  <c r="P39" i="1"/>
  <c r="P37" i="1"/>
  <c r="L36" i="1"/>
  <c r="P35" i="1"/>
  <c r="L35" i="1"/>
  <c r="P31" i="1"/>
  <c r="P29" i="1"/>
  <c r="P27" i="1"/>
  <c r="L26" i="1"/>
  <c r="P25" i="1"/>
  <c r="L25" i="1"/>
  <c r="P21" i="1"/>
  <c r="P19" i="1"/>
  <c r="P17" i="1"/>
  <c r="L16" i="1"/>
  <c r="P15" i="1"/>
  <c r="L15" i="1"/>
  <c r="C10" i="1"/>
  <c r="B10" i="1"/>
  <c r="AB3" i="1"/>
  <c r="X2" i="1"/>
  <c r="AJ1" i="1"/>
  <c r="X45" i="3" l="1"/>
  <c r="P83" i="1"/>
  <c r="P123" i="1"/>
  <c r="L367" i="1"/>
  <c r="L368" i="1" s="1"/>
  <c r="L369" i="1" s="1"/>
  <c r="M369" i="1" s="1"/>
  <c r="O365" i="1" s="1"/>
  <c r="L337" i="1"/>
  <c r="L338" i="1" s="1"/>
  <c r="L339" i="1" s="1"/>
  <c r="L340" i="1" s="1"/>
  <c r="L341" i="1" s="1"/>
  <c r="M341" i="1" s="1"/>
  <c r="O339" i="1" s="1"/>
  <c r="L327" i="1"/>
  <c r="L328" i="1" s="1"/>
  <c r="L329" i="1" s="1"/>
  <c r="M329" i="1" s="1"/>
  <c r="O325" i="1" s="1"/>
  <c r="P23" i="1"/>
  <c r="R45" i="3"/>
  <c r="AA45" i="3"/>
  <c r="L257" i="1"/>
  <c r="L258" i="1" s="1"/>
  <c r="L259" i="1" s="1"/>
  <c r="M259" i="1" s="1"/>
  <c r="O255" i="1" s="1"/>
  <c r="L357" i="1"/>
  <c r="L358" i="1" s="1"/>
  <c r="L359" i="1" s="1"/>
  <c r="L360" i="1" s="1"/>
  <c r="L361" i="1" s="1"/>
  <c r="M361" i="1" s="1"/>
  <c r="O359" i="1" s="1"/>
  <c r="P333" i="1"/>
  <c r="P373" i="1"/>
  <c r="P393" i="1"/>
  <c r="AC14" i="3"/>
  <c r="AB33" i="3"/>
  <c r="Y41" i="3"/>
  <c r="V44" i="3"/>
  <c r="P53" i="1"/>
  <c r="Z12" i="3"/>
  <c r="W15" i="3"/>
  <c r="X19" i="3"/>
  <c r="W29" i="3"/>
  <c r="N11" i="3"/>
  <c r="Z7" i="3"/>
  <c r="V21" i="3"/>
  <c r="N12" i="3"/>
  <c r="Z37" i="3"/>
  <c r="AB26" i="3"/>
  <c r="Z22" i="3"/>
  <c r="P153" i="1"/>
  <c r="L167" i="1"/>
  <c r="L168" i="1" s="1"/>
  <c r="L169" i="1" s="1"/>
  <c r="M169" i="1" s="1"/>
  <c r="O165" i="1" s="1"/>
  <c r="L97" i="1"/>
  <c r="L98" i="1" s="1"/>
  <c r="L99" i="1" s="1"/>
  <c r="L100" i="1" s="1"/>
  <c r="L101" i="1" s="1"/>
  <c r="M101" i="1" s="1"/>
  <c r="O99" i="1" s="1"/>
  <c r="L17" i="1"/>
  <c r="L18" i="1" s="1"/>
  <c r="L19" i="1" s="1"/>
  <c r="M19" i="1" s="1"/>
  <c r="O15" i="1" s="1"/>
  <c r="Z9" i="3"/>
  <c r="O9" i="3"/>
  <c r="R14" i="3"/>
  <c r="Q40" i="3"/>
  <c r="X13" i="3"/>
  <c r="Q15" i="3"/>
  <c r="U16" i="3"/>
  <c r="N17" i="3"/>
  <c r="Y18" i="3"/>
  <c r="Z20" i="3"/>
  <c r="S22" i="3"/>
  <c r="W25" i="3"/>
  <c r="X27" i="3"/>
  <c r="X28" i="3"/>
  <c r="P23" i="3"/>
  <c r="P33" i="3"/>
  <c r="AB35" i="3"/>
  <c r="W38" i="3"/>
  <c r="R42" i="3"/>
  <c r="AB44" i="3"/>
  <c r="W43" i="3"/>
  <c r="M44" i="3"/>
  <c r="Z40" i="3"/>
  <c r="X30" i="3"/>
  <c r="AA42" i="3"/>
  <c r="M8" i="3"/>
  <c r="Y7" i="3"/>
  <c r="Z8" i="3"/>
  <c r="Z17" i="3"/>
  <c r="T17" i="3"/>
  <c r="V9" i="3"/>
  <c r="X18" i="3"/>
  <c r="Y27" i="3"/>
  <c r="AB41" i="3"/>
  <c r="AC19" i="3"/>
  <c r="V29" i="3"/>
  <c r="U42" i="3"/>
  <c r="S20" i="3"/>
  <c r="AC30" i="3"/>
  <c r="Q43" i="3"/>
  <c r="Y12" i="3"/>
  <c r="Y21" i="3"/>
  <c r="Y31" i="3"/>
  <c r="M13" i="3"/>
  <c r="V33" i="3"/>
  <c r="Y43" i="3"/>
  <c r="Q34" i="3"/>
  <c r="M35" i="3"/>
  <c r="AB14" i="3"/>
  <c r="AA22" i="3"/>
  <c r="V35" i="3"/>
  <c r="Z44" i="3"/>
  <c r="Y24" i="3"/>
  <c r="P25" i="3"/>
  <c r="Y35" i="3"/>
  <c r="P26" i="3"/>
  <c r="N37" i="3"/>
  <c r="AB15" i="3"/>
  <c r="S26" i="3"/>
  <c r="AA16" i="3"/>
  <c r="Z26" i="3"/>
  <c r="T40" i="3"/>
  <c r="P303" i="1"/>
  <c r="P233" i="1"/>
  <c r="P143" i="1"/>
  <c r="P133" i="1"/>
  <c r="P113" i="1"/>
  <c r="P73" i="1"/>
  <c r="P43" i="1"/>
  <c r="L317" i="1"/>
  <c r="L318" i="1" s="1"/>
  <c r="L319" i="1" s="1"/>
  <c r="M319" i="1" s="1"/>
  <c r="O315" i="1" s="1"/>
  <c r="L307" i="1"/>
  <c r="L308" i="1" s="1"/>
  <c r="L309" i="1" s="1"/>
  <c r="L310" i="1" s="1"/>
  <c r="L311" i="1" s="1"/>
  <c r="M311" i="1" s="1"/>
  <c r="O309" i="1" s="1"/>
  <c r="L297" i="1"/>
  <c r="L298" i="1" s="1"/>
  <c r="L299" i="1" s="1"/>
  <c r="L300" i="1" s="1"/>
  <c r="L301" i="1" s="1"/>
  <c r="M301" i="1" s="1"/>
  <c r="O299" i="1" s="1"/>
  <c r="L277" i="1"/>
  <c r="L278" i="1" s="1"/>
  <c r="L279" i="1" s="1"/>
  <c r="M279" i="1" s="1"/>
  <c r="O275" i="1" s="1"/>
  <c r="L227" i="1"/>
  <c r="L228" i="1" s="1"/>
  <c r="L229" i="1" s="1"/>
  <c r="L230" i="1" s="1"/>
  <c r="L231" i="1" s="1"/>
  <c r="M231" i="1" s="1"/>
  <c r="O229" i="1" s="1"/>
  <c r="L207" i="1"/>
  <c r="L208" i="1" s="1"/>
  <c r="L209" i="1" s="1"/>
  <c r="M209" i="1" s="1"/>
  <c r="O205" i="1" s="1"/>
  <c r="L127" i="1"/>
  <c r="L128" i="1" s="1"/>
  <c r="L129" i="1" s="1"/>
  <c r="L130" i="1" s="1"/>
  <c r="L131" i="1" s="1"/>
  <c r="M131" i="1" s="1"/>
  <c r="O129" i="1" s="1"/>
  <c r="L87" i="1"/>
  <c r="L88" i="1" s="1"/>
  <c r="L89" i="1" s="1"/>
  <c r="L90" i="1" s="1"/>
  <c r="L91" i="1" s="1"/>
  <c r="M91" i="1" s="1"/>
  <c r="O89" i="1" s="1"/>
  <c r="L67" i="1"/>
  <c r="L68" i="1" s="1"/>
  <c r="L69" i="1" s="1"/>
  <c r="L70" i="1" s="1"/>
  <c r="L71" i="1" s="1"/>
  <c r="M71" i="1" s="1"/>
  <c r="O69" i="1" s="1"/>
  <c r="L57" i="1"/>
  <c r="L58" i="1" s="1"/>
  <c r="L59" i="1" s="1"/>
  <c r="L60" i="1" s="1"/>
  <c r="L61" i="1" s="1"/>
  <c r="M61" i="1" s="1"/>
  <c r="O59" i="1" s="1"/>
  <c r="L37" i="1"/>
  <c r="L38" i="1" s="1"/>
  <c r="L39" i="1" s="1"/>
  <c r="L40" i="1" s="1"/>
  <c r="L41" i="1" s="1"/>
  <c r="M41" i="1" s="1"/>
  <c r="O39" i="1" s="1"/>
  <c r="L27" i="1"/>
  <c r="L28" i="1" s="1"/>
  <c r="L29" i="1" s="1"/>
  <c r="L30" i="1" s="1"/>
  <c r="L31" i="1" s="1"/>
  <c r="M31" i="1" s="1"/>
  <c r="O29" i="1" s="1"/>
  <c r="L187" i="1"/>
  <c r="L188" i="1" s="1"/>
  <c r="L189" i="1" s="1"/>
  <c r="L190" i="1" s="1"/>
  <c r="L191" i="1" s="1"/>
  <c r="M191" i="1" s="1"/>
  <c r="O189" i="1" s="1"/>
  <c r="L177" i="1"/>
  <c r="L178" i="1" s="1"/>
  <c r="L179" i="1" s="1"/>
  <c r="M179" i="1" s="1"/>
  <c r="O175" i="1" s="1"/>
  <c r="L157" i="1"/>
  <c r="L158" i="1" s="1"/>
  <c r="L159" i="1" s="1"/>
  <c r="L160" i="1" s="1"/>
  <c r="L161" i="1" s="1"/>
  <c r="M161" i="1" s="1"/>
  <c r="O159" i="1" s="1"/>
  <c r="L147" i="1"/>
  <c r="L148" i="1" s="1"/>
  <c r="L149" i="1" s="1"/>
  <c r="L150" i="1" s="1"/>
  <c r="L151" i="1" s="1"/>
  <c r="M151" i="1" s="1"/>
  <c r="O149" i="1" s="1"/>
  <c r="L137" i="1"/>
  <c r="L138" i="1" s="1"/>
  <c r="L139" i="1" s="1"/>
  <c r="M139" i="1" s="1"/>
  <c r="O135" i="1" s="1"/>
  <c r="L117" i="1"/>
  <c r="L118" i="1" s="1"/>
  <c r="L119" i="1" s="1"/>
  <c r="M119" i="1" s="1"/>
  <c r="O115" i="1" s="1"/>
  <c r="L107" i="1"/>
  <c r="L108" i="1" s="1"/>
  <c r="L109" i="1" s="1"/>
  <c r="L110" i="1" s="1"/>
  <c r="L111" i="1" s="1"/>
  <c r="M111" i="1" s="1"/>
  <c r="O109" i="1" s="1"/>
  <c r="L77" i="1"/>
  <c r="L78" i="1" s="1"/>
  <c r="L79" i="1" s="1"/>
  <c r="M79" i="1" s="1"/>
  <c r="O75" i="1" s="1"/>
  <c r="L47" i="1"/>
  <c r="L48" i="1" s="1"/>
  <c r="L49" i="1" s="1"/>
  <c r="L50" i="1" s="1"/>
  <c r="L51" i="1" s="1"/>
  <c r="M51" i="1" s="1"/>
  <c r="O49" i="1" s="1"/>
  <c r="L217" i="1"/>
  <c r="L218" i="1" s="1"/>
  <c r="L219" i="1" s="1"/>
  <c r="L247" i="1"/>
  <c r="L248" i="1" s="1"/>
  <c r="L249" i="1" s="1"/>
  <c r="L250" i="1" s="1"/>
  <c r="L251" i="1" s="1"/>
  <c r="M251" i="1" s="1"/>
  <c r="O249" i="1" s="1"/>
  <c r="L287" i="1"/>
  <c r="L288" i="1" s="1"/>
  <c r="L289" i="1" s="1"/>
  <c r="L290" i="1" s="1"/>
  <c r="L291" i="1" s="1"/>
  <c r="M291" i="1" s="1"/>
  <c r="O289" i="1" s="1"/>
  <c r="L347" i="1"/>
  <c r="L348" i="1" s="1"/>
  <c r="L349" i="1" s="1"/>
  <c r="M349" i="1" s="1"/>
  <c r="O345" i="1" s="1"/>
  <c r="D7" i="3"/>
  <c r="C7" i="3"/>
  <c r="B8" i="3"/>
  <c r="D8" i="3" s="1"/>
  <c r="P103" i="1"/>
  <c r="P33" i="1"/>
  <c r="P63" i="1"/>
  <c r="P93" i="1"/>
  <c r="P163" i="1"/>
  <c r="P183" i="1"/>
  <c r="L197" i="1"/>
  <c r="L198" i="1" s="1"/>
  <c r="L199" i="1" s="1"/>
  <c r="L200" i="1" s="1"/>
  <c r="L201" i="1" s="1"/>
  <c r="M201" i="1" s="1"/>
  <c r="O199" i="1" s="1"/>
  <c r="L237" i="1"/>
  <c r="L238" i="1" s="1"/>
  <c r="L239" i="1" s="1"/>
  <c r="M239" i="1" s="1"/>
  <c r="L267" i="1"/>
  <c r="L268" i="1" s="1"/>
  <c r="L269" i="1" s="1"/>
  <c r="L377" i="1"/>
  <c r="L378" i="1" s="1"/>
  <c r="L379" i="1" s="1"/>
  <c r="L380" i="1" s="1"/>
  <c r="L381" i="1" s="1"/>
  <c r="M381" i="1" s="1"/>
  <c r="O379" i="1" s="1"/>
  <c r="X7" i="3"/>
  <c r="AB18" i="3"/>
  <c r="M18" i="3"/>
  <c r="Y26" i="3"/>
  <c r="S27" i="3"/>
  <c r="W34" i="3"/>
  <c r="R37" i="3"/>
  <c r="N40" i="3"/>
  <c r="S44" i="3"/>
  <c r="P223" i="1"/>
  <c r="P243" i="1"/>
  <c r="P293" i="1"/>
  <c r="P353" i="1"/>
  <c r="P383" i="1"/>
  <c r="L387" i="1"/>
  <c r="L388" i="1" s="1"/>
  <c r="L389" i="1" s="1"/>
  <c r="L390" i="1" s="1"/>
  <c r="L391" i="1" s="1"/>
  <c r="M391" i="1" s="1"/>
  <c r="O389" i="1" s="1"/>
  <c r="L397" i="1"/>
  <c r="L398" i="1" s="1"/>
  <c r="L399" i="1" s="1"/>
  <c r="M399" i="1" s="1"/>
  <c r="P413" i="1"/>
  <c r="N7" i="3"/>
  <c r="T7" i="3"/>
  <c r="S8" i="3"/>
  <c r="S9" i="3"/>
  <c r="T9" i="3"/>
  <c r="M12" i="3"/>
  <c r="S13" i="3"/>
  <c r="Q14" i="3"/>
  <c r="X14" i="3"/>
  <c r="P15" i="3"/>
  <c r="V15" i="3"/>
  <c r="S18" i="3"/>
  <c r="R19" i="3"/>
  <c r="Q19" i="3"/>
  <c r="O21" i="3"/>
  <c r="Z21" i="3"/>
  <c r="M22" i="3"/>
  <c r="T22" i="3"/>
  <c r="Y22" i="3"/>
  <c r="Y23" i="3"/>
  <c r="R24" i="3"/>
  <c r="Q26" i="3"/>
  <c r="M27" i="3"/>
  <c r="R30" i="3"/>
  <c r="Q31" i="3"/>
  <c r="AA33" i="3"/>
  <c r="P35" i="3"/>
  <c r="T35" i="3"/>
  <c r="S36" i="3"/>
  <c r="P41" i="3"/>
  <c r="S41" i="3"/>
  <c r="N43" i="3"/>
  <c r="T43" i="3"/>
  <c r="Z43" i="3"/>
  <c r="AC43" i="3"/>
  <c r="P44" i="3"/>
  <c r="Y44" i="3"/>
  <c r="O45" i="3"/>
  <c r="U45" i="3"/>
  <c r="B15" i="1"/>
  <c r="B25" i="1" s="1"/>
  <c r="B35" i="1" s="1"/>
  <c r="B45" i="1" s="1"/>
  <c r="B55" i="1" s="1"/>
  <c r="B65" i="1" s="1"/>
  <c r="B75" i="1" s="1"/>
  <c r="B85" i="1" s="1"/>
  <c r="B95" i="1" s="1"/>
  <c r="B105" i="1" s="1"/>
  <c r="B115" i="1" s="1"/>
  <c r="B125" i="1" s="1"/>
  <c r="B135" i="1" s="1"/>
  <c r="B145" i="1" s="1"/>
  <c r="B155" i="1" s="1"/>
  <c r="B165" i="1" s="1"/>
  <c r="B175" i="1" s="1"/>
  <c r="B185" i="1" s="1"/>
  <c r="B195" i="1" s="1"/>
  <c r="B205" i="1" s="1"/>
  <c r="B215" i="1" s="1"/>
  <c r="B225" i="1" s="1"/>
  <c r="B235" i="1" s="1"/>
  <c r="B245" i="1" s="1"/>
  <c r="B255" i="1" s="1"/>
  <c r="B265" i="1" s="1"/>
  <c r="B275" i="1" s="1"/>
  <c r="B285" i="1" s="1"/>
  <c r="B295" i="1" s="1"/>
  <c r="B305" i="1" s="1"/>
  <c r="B315" i="1" s="1"/>
  <c r="B325" i="1" s="1"/>
  <c r="B335" i="1" s="1"/>
  <c r="B345" i="1" s="1"/>
  <c r="B355" i="1" s="1"/>
  <c r="B365" i="1" s="1"/>
  <c r="B375" i="1" s="1"/>
  <c r="B385" i="1" s="1"/>
  <c r="B395" i="1" s="1"/>
  <c r="A45" i="13"/>
  <c r="D57" i="13" s="1"/>
  <c r="B33" i="13"/>
  <c r="B32" i="13"/>
  <c r="C32" i="13" s="1"/>
  <c r="B15" i="13"/>
  <c r="B39" i="13"/>
  <c r="C39" i="13" s="1"/>
  <c r="B22" i="13"/>
  <c r="C22" i="13" s="1"/>
  <c r="B26" i="13"/>
  <c r="C26" i="13" s="1"/>
  <c r="P403" i="1"/>
  <c r="P10" i="3"/>
  <c r="AB10" i="3"/>
  <c r="O10" i="3"/>
  <c r="AA10" i="3"/>
  <c r="V10" i="3"/>
  <c r="U10" i="3"/>
  <c r="P193" i="1"/>
  <c r="P283" i="1"/>
  <c r="L370" i="1"/>
  <c r="L371" i="1" s="1"/>
  <c r="M371" i="1" s="1"/>
  <c r="O369" i="1" s="1"/>
  <c r="Y11" i="3"/>
  <c r="S11" i="3"/>
  <c r="M11" i="3"/>
  <c r="X11" i="3"/>
  <c r="R11" i="3"/>
  <c r="AC11" i="3"/>
  <c r="W11" i="3"/>
  <c r="Q11" i="3"/>
  <c r="AB11" i="3"/>
  <c r="V11" i="3"/>
  <c r="P11" i="3"/>
  <c r="AA11" i="3"/>
  <c r="Z11" i="3"/>
  <c r="U11" i="3"/>
  <c r="T11" i="3"/>
  <c r="O11" i="3"/>
  <c r="P213" i="1"/>
  <c r="P273" i="1"/>
  <c r="P203" i="1"/>
  <c r="P263" i="1"/>
  <c r="P323" i="1"/>
  <c r="P363" i="1"/>
  <c r="C15" i="1"/>
  <c r="P173" i="1"/>
  <c r="P253" i="1"/>
  <c r="P313" i="1"/>
  <c r="P343" i="1"/>
  <c r="W7" i="3"/>
  <c r="AC7" i="3"/>
  <c r="Q7" i="3"/>
  <c r="Y8" i="3"/>
  <c r="X8" i="3"/>
  <c r="R8" i="3"/>
  <c r="W8" i="3"/>
  <c r="Q8" i="3"/>
  <c r="AC8" i="3"/>
  <c r="V8" i="3"/>
  <c r="P8" i="3"/>
  <c r="AB8" i="3"/>
  <c r="U8" i="3"/>
  <c r="O8" i="3"/>
  <c r="AA8" i="3"/>
  <c r="T8" i="3"/>
  <c r="N8" i="3"/>
  <c r="R10" i="3"/>
  <c r="O7" i="3"/>
  <c r="U7" i="3"/>
  <c r="AA7" i="3"/>
  <c r="P9" i="3"/>
  <c r="W9" i="3"/>
  <c r="X9" i="3"/>
  <c r="X12" i="3"/>
  <c r="R12" i="3"/>
  <c r="AC12" i="3"/>
  <c r="W12" i="3"/>
  <c r="Q12" i="3"/>
  <c r="R13" i="3"/>
  <c r="AA13" i="3"/>
  <c r="Z16" i="3"/>
  <c r="T16" i="3"/>
  <c r="N16" i="3"/>
  <c r="Y16" i="3"/>
  <c r="S16" i="3"/>
  <c r="M16" i="3"/>
  <c r="X16" i="3"/>
  <c r="R16" i="3"/>
  <c r="AC16" i="3"/>
  <c r="W16" i="3"/>
  <c r="Q16" i="3"/>
  <c r="AB16" i="3"/>
  <c r="V16" i="3"/>
  <c r="P16" i="3"/>
  <c r="P7" i="3"/>
  <c r="V7" i="3"/>
  <c r="AB7" i="3"/>
  <c r="Q9" i="3"/>
  <c r="Y9" i="3"/>
  <c r="AA9" i="3"/>
  <c r="R9" i="3"/>
  <c r="AC18" i="3"/>
  <c r="W18" i="3"/>
  <c r="Q18" i="3"/>
  <c r="Z18" i="3"/>
  <c r="T18" i="3"/>
  <c r="N18" i="3"/>
  <c r="AB23" i="3"/>
  <c r="T23" i="3"/>
  <c r="M23" i="3"/>
  <c r="Z23" i="3"/>
  <c r="S23" i="3"/>
  <c r="X23" i="3"/>
  <c r="Q23" i="3"/>
  <c r="Z24" i="3"/>
  <c r="T24" i="3"/>
  <c r="N24" i="3"/>
  <c r="X24" i="3"/>
  <c r="Q24" i="3"/>
  <c r="W24" i="3"/>
  <c r="P24" i="3"/>
  <c r="AC24" i="3"/>
  <c r="V24" i="3"/>
  <c r="O24" i="3"/>
  <c r="AB24" i="3"/>
  <c r="U24" i="3"/>
  <c r="M24" i="3"/>
  <c r="AA24" i="3"/>
  <c r="S24" i="3"/>
  <c r="AC13" i="3"/>
  <c r="W13" i="3"/>
  <c r="Q13" i="3"/>
  <c r="AB13" i="3"/>
  <c r="V13" i="3"/>
  <c r="P13" i="3"/>
  <c r="R7" i="3"/>
  <c r="M9" i="3"/>
  <c r="AB9" i="3"/>
  <c r="S12" i="3"/>
  <c r="Y13" i="3"/>
  <c r="P14" i="3"/>
  <c r="AA14" i="3"/>
  <c r="U14" i="3"/>
  <c r="O14" i="3"/>
  <c r="AA17" i="3"/>
  <c r="U17" i="3"/>
  <c r="O17" i="3"/>
  <c r="W23" i="3"/>
  <c r="M7" i="3"/>
  <c r="S7" i="3"/>
  <c r="N9" i="3"/>
  <c r="U9" i="3"/>
  <c r="AC9" i="3"/>
  <c r="Z10" i="3"/>
  <c r="T10" i="3"/>
  <c r="N10" i="3"/>
  <c r="Y10" i="3"/>
  <c r="S10" i="3"/>
  <c r="M10" i="3"/>
  <c r="X10" i="3"/>
  <c r="AC10" i="3"/>
  <c r="W10" i="3"/>
  <c r="Q10" i="3"/>
  <c r="T12" i="3"/>
  <c r="AB12" i="3"/>
  <c r="W14" i="3"/>
  <c r="AA15" i="3"/>
  <c r="U15" i="3"/>
  <c r="O15" i="3"/>
  <c r="Z15" i="3"/>
  <c r="T15" i="3"/>
  <c r="N15" i="3"/>
  <c r="Y15" i="3"/>
  <c r="S15" i="3"/>
  <c r="M15" i="3"/>
  <c r="X15" i="3"/>
  <c r="R15" i="3"/>
  <c r="AC15" i="3"/>
  <c r="O16" i="3"/>
  <c r="Y17" i="3"/>
  <c r="AA18" i="3"/>
  <c r="AB19" i="3"/>
  <c r="V19" i="3"/>
  <c r="P19" i="3"/>
  <c r="Y19" i="3"/>
  <c r="S19" i="3"/>
  <c r="M19" i="3"/>
  <c r="X20" i="3"/>
  <c r="R20" i="3"/>
  <c r="Y20" i="3"/>
  <c r="Q20" i="3"/>
  <c r="W20" i="3"/>
  <c r="P20" i="3"/>
  <c r="AC20" i="3"/>
  <c r="V20" i="3"/>
  <c r="O20" i="3"/>
  <c r="AB20" i="3"/>
  <c r="U20" i="3"/>
  <c r="N20" i="3"/>
  <c r="AA20" i="3"/>
  <c r="T20" i="3"/>
  <c r="M20" i="3"/>
  <c r="AA21" i="3"/>
  <c r="T21" i="3"/>
  <c r="M21" i="3"/>
  <c r="X21" i="3"/>
  <c r="P21" i="3"/>
  <c r="AB25" i="3"/>
  <c r="Y25" i="3"/>
  <c r="S25" i="3"/>
  <c r="M25" i="3"/>
  <c r="V25" i="3"/>
  <c r="O25" i="3"/>
  <c r="AC25" i="3"/>
  <c r="U25" i="3"/>
  <c r="N25" i="3"/>
  <c r="AA25" i="3"/>
  <c r="T25" i="3"/>
  <c r="Z25" i="3"/>
  <c r="R25" i="3"/>
  <c r="X25" i="3"/>
  <c r="Q25" i="3"/>
  <c r="Y28" i="3"/>
  <c r="S28" i="3"/>
  <c r="M28" i="3"/>
  <c r="AA28" i="3"/>
  <c r="U28" i="3"/>
  <c r="O28" i="3"/>
  <c r="W32" i="3"/>
  <c r="O32" i="3"/>
  <c r="N28" i="3"/>
  <c r="Z28" i="3"/>
  <c r="AC29" i="3"/>
  <c r="AB29" i="3"/>
  <c r="R32" i="3"/>
  <c r="AC34" i="3"/>
  <c r="O12" i="3"/>
  <c r="U12" i="3"/>
  <c r="AA12" i="3"/>
  <c r="N13" i="3"/>
  <c r="T13" i="3"/>
  <c r="Z13" i="3"/>
  <c r="M14" i="3"/>
  <c r="S14" i="3"/>
  <c r="Y14" i="3"/>
  <c r="P17" i="3"/>
  <c r="V17" i="3"/>
  <c r="AB17" i="3"/>
  <c r="O18" i="3"/>
  <c r="U18" i="3"/>
  <c r="N19" i="3"/>
  <c r="T19" i="3"/>
  <c r="Z19" i="3"/>
  <c r="R21" i="3"/>
  <c r="N22" i="3"/>
  <c r="U22" i="3"/>
  <c r="AC22" i="3"/>
  <c r="R23" i="3"/>
  <c r="O27" i="3"/>
  <c r="AA27" i="3"/>
  <c r="Q28" i="3"/>
  <c r="AC28" i="3"/>
  <c r="M29" i="3"/>
  <c r="Y29" i="3"/>
  <c r="AB31" i="3"/>
  <c r="U31" i="3"/>
  <c r="O31" i="3"/>
  <c r="Z31" i="3"/>
  <c r="T31" i="3"/>
  <c r="N31" i="3"/>
  <c r="AC32" i="3"/>
  <c r="M36" i="3"/>
  <c r="P12" i="3"/>
  <c r="V12" i="3"/>
  <c r="O13" i="3"/>
  <c r="U13" i="3"/>
  <c r="N14" i="3"/>
  <c r="T14" i="3"/>
  <c r="Z14" i="3"/>
  <c r="Q17" i="3"/>
  <c r="W17" i="3"/>
  <c r="AC17" i="3"/>
  <c r="P18" i="3"/>
  <c r="V18" i="3"/>
  <c r="O19" i="3"/>
  <c r="U19" i="3"/>
  <c r="AA19" i="3"/>
  <c r="S21" i="3"/>
  <c r="AC21" i="3"/>
  <c r="W21" i="3"/>
  <c r="Q21" i="3"/>
  <c r="O22" i="3"/>
  <c r="W22" i="3"/>
  <c r="T26" i="3"/>
  <c r="R27" i="3"/>
  <c r="R28" i="3"/>
  <c r="P29" i="3"/>
  <c r="V32" i="3"/>
  <c r="Z34" i="3"/>
  <c r="Y36" i="3"/>
  <c r="R36" i="3"/>
  <c r="X37" i="3"/>
  <c r="W37" i="3"/>
  <c r="T37" i="3"/>
  <c r="AC37" i="3"/>
  <c r="Q37" i="3"/>
  <c r="B60" i="13"/>
  <c r="C60" i="13" s="1"/>
  <c r="B45" i="13"/>
  <c r="R17" i="3"/>
  <c r="X17" i="3"/>
  <c r="Q22" i="3"/>
  <c r="X22" i="3"/>
  <c r="AA23" i="3"/>
  <c r="U23" i="3"/>
  <c r="O23" i="3"/>
  <c r="M26" i="3"/>
  <c r="V26" i="3"/>
  <c r="X26" i="3"/>
  <c r="Z27" i="3"/>
  <c r="T27" i="3"/>
  <c r="N27" i="3"/>
  <c r="AC27" i="3"/>
  <c r="W27" i="3"/>
  <c r="Q27" i="3"/>
  <c r="AB27" i="3"/>
  <c r="V27" i="3"/>
  <c r="P27" i="3"/>
  <c r="T28" i="3"/>
  <c r="AB28" i="3"/>
  <c r="Q29" i="3"/>
  <c r="X29" i="3"/>
  <c r="AB30" i="3"/>
  <c r="V30" i="3"/>
  <c r="P30" i="3"/>
  <c r="AA30" i="3"/>
  <c r="U30" i="3"/>
  <c r="O30" i="3"/>
  <c r="W31" i="3"/>
  <c r="X38" i="3"/>
  <c r="R38" i="3"/>
  <c r="AA38" i="3"/>
  <c r="U38" i="3"/>
  <c r="O38" i="3"/>
  <c r="N38" i="3"/>
  <c r="V38" i="3"/>
  <c r="S38" i="3"/>
  <c r="AC38" i="3"/>
  <c r="Q38" i="3"/>
  <c r="AB38" i="3"/>
  <c r="P38" i="3"/>
  <c r="Y38" i="3"/>
  <c r="M38" i="3"/>
  <c r="AC39" i="3"/>
  <c r="W39" i="3"/>
  <c r="Q39" i="3"/>
  <c r="AB39" i="3"/>
  <c r="V39" i="3"/>
  <c r="P39" i="3"/>
  <c r="Z39" i="3"/>
  <c r="T39" i="3"/>
  <c r="N39" i="3"/>
  <c r="Y39" i="3"/>
  <c r="S39" i="3"/>
  <c r="M39" i="3"/>
  <c r="AA39" i="3"/>
  <c r="X39" i="3"/>
  <c r="U39" i="3"/>
  <c r="R39" i="3"/>
  <c r="O39" i="3"/>
  <c r="V14" i="3"/>
  <c r="M17" i="3"/>
  <c r="S17" i="3"/>
  <c r="R18" i="3"/>
  <c r="W19" i="3"/>
  <c r="N21" i="3"/>
  <c r="U21" i="3"/>
  <c r="AB21" i="3"/>
  <c r="R22" i="3"/>
  <c r="AB22" i="3"/>
  <c r="V22" i="3"/>
  <c r="P22" i="3"/>
  <c r="N23" i="3"/>
  <c r="V23" i="3"/>
  <c r="AC23" i="3"/>
  <c r="N26" i="3"/>
  <c r="AA26" i="3"/>
  <c r="U26" i="3"/>
  <c r="O26" i="3"/>
  <c r="AC26" i="3"/>
  <c r="W26" i="3"/>
  <c r="U27" i="3"/>
  <c r="W28" i="3"/>
  <c r="S29" i="3"/>
  <c r="N29" i="3"/>
  <c r="T29" i="3"/>
  <c r="Z29" i="3"/>
  <c r="M30" i="3"/>
  <c r="S30" i="3"/>
  <c r="Y30" i="3"/>
  <c r="R31" i="3"/>
  <c r="X31" i="3"/>
  <c r="S32" i="3"/>
  <c r="R33" i="3"/>
  <c r="T34" i="3"/>
  <c r="AB34" i="3"/>
  <c r="V34" i="3"/>
  <c r="P34" i="3"/>
  <c r="Y34" i="3"/>
  <c r="S34" i="3"/>
  <c r="M34" i="3"/>
  <c r="X34" i="3"/>
  <c r="R34" i="3"/>
  <c r="S35" i="3"/>
  <c r="O36" i="3"/>
  <c r="AA36" i="3"/>
  <c r="AC40" i="3"/>
  <c r="AA41" i="3"/>
  <c r="U41" i="3"/>
  <c r="O41" i="3"/>
  <c r="Z41" i="3"/>
  <c r="T41" i="3"/>
  <c r="N41" i="3"/>
  <c r="X41" i="3"/>
  <c r="R41" i="3"/>
  <c r="AC41" i="3"/>
  <c r="W41" i="3"/>
  <c r="Q41" i="3"/>
  <c r="Z42" i="3"/>
  <c r="T42" i="3"/>
  <c r="N42" i="3"/>
  <c r="Y42" i="3"/>
  <c r="S42" i="3"/>
  <c r="M42" i="3"/>
  <c r="AC42" i="3"/>
  <c r="W42" i="3"/>
  <c r="Q42" i="3"/>
  <c r="AB42" i="3"/>
  <c r="V42" i="3"/>
  <c r="P42" i="3"/>
  <c r="B27" i="13"/>
  <c r="C27" i="13" s="1"/>
  <c r="R26" i="3"/>
  <c r="P28" i="3"/>
  <c r="V28" i="3"/>
  <c r="O29" i="3"/>
  <c r="U29" i="3"/>
  <c r="AA29" i="3"/>
  <c r="N30" i="3"/>
  <c r="T30" i="3"/>
  <c r="Z30" i="3"/>
  <c r="M31" i="3"/>
  <c r="S31" i="3"/>
  <c r="M32" i="3"/>
  <c r="Z32" i="3"/>
  <c r="U33" i="3"/>
  <c r="AC33" i="3"/>
  <c r="W33" i="3"/>
  <c r="Q33" i="3"/>
  <c r="Z33" i="3"/>
  <c r="T33" i="3"/>
  <c r="N33" i="3"/>
  <c r="Y33" i="3"/>
  <c r="S33" i="3"/>
  <c r="M33" i="3"/>
  <c r="U34" i="3"/>
  <c r="AB40" i="3"/>
  <c r="V41" i="3"/>
  <c r="O42" i="3"/>
  <c r="X44" i="3"/>
  <c r="R44" i="3"/>
  <c r="AC44" i="3"/>
  <c r="W44" i="3"/>
  <c r="Q44" i="3"/>
  <c r="AA44" i="3"/>
  <c r="U44" i="3"/>
  <c r="O44" i="3"/>
  <c r="T44" i="3"/>
  <c r="N44" i="3"/>
  <c r="AC45" i="3"/>
  <c r="W45" i="3"/>
  <c r="Q45" i="3"/>
  <c r="AB45" i="3"/>
  <c r="V45" i="3"/>
  <c r="P45" i="3"/>
  <c r="Z45" i="3"/>
  <c r="T45" i="3"/>
  <c r="N45" i="3"/>
  <c r="Y45" i="3"/>
  <c r="S45" i="3"/>
  <c r="M45" i="3"/>
  <c r="B28" i="13"/>
  <c r="B37" i="13"/>
  <c r="X32" i="3"/>
  <c r="AA32" i="3"/>
  <c r="U32" i="3"/>
  <c r="N32" i="3"/>
  <c r="Z36" i="3"/>
  <c r="T36" i="3"/>
  <c r="N36" i="3"/>
  <c r="AC36" i="3"/>
  <c r="W36" i="3"/>
  <c r="Q36" i="3"/>
  <c r="AB36" i="3"/>
  <c r="V36" i="3"/>
  <c r="P36" i="3"/>
  <c r="AA31" i="3"/>
  <c r="P32" i="3"/>
  <c r="Y32" i="3"/>
  <c r="X33" i="3"/>
  <c r="N34" i="3"/>
  <c r="AA35" i="3"/>
  <c r="U35" i="3"/>
  <c r="O35" i="3"/>
  <c r="X35" i="3"/>
  <c r="R35" i="3"/>
  <c r="AC35" i="3"/>
  <c r="W35" i="3"/>
  <c r="Q35" i="3"/>
  <c r="U36" i="3"/>
  <c r="AA37" i="3"/>
  <c r="AA40" i="3"/>
  <c r="U40" i="3"/>
  <c r="O40" i="3"/>
  <c r="D27" i="13"/>
  <c r="D25" i="13"/>
  <c r="B20" i="13"/>
  <c r="C20" i="13" s="1"/>
  <c r="B17" i="13"/>
  <c r="C17" i="13" s="1"/>
  <c r="B41" i="13"/>
  <c r="B30" i="13"/>
  <c r="C30" i="13" s="1"/>
  <c r="B43" i="13"/>
  <c r="B35" i="13"/>
  <c r="C35" i="13" s="1"/>
  <c r="B29" i="13"/>
  <c r="C29" i="13" s="1"/>
  <c r="D26" i="13"/>
  <c r="B40" i="13"/>
  <c r="C40" i="13" s="1"/>
  <c r="B24" i="13"/>
  <c r="C24" i="13" s="1"/>
  <c r="B18" i="13"/>
  <c r="D39" i="13"/>
  <c r="R29" i="3"/>
  <c r="Q30" i="3"/>
  <c r="W30" i="3"/>
  <c r="P31" i="3"/>
  <c r="V31" i="3"/>
  <c r="AC31" i="3"/>
  <c r="Q32" i="3"/>
  <c r="AB32" i="3"/>
  <c r="O33" i="3"/>
  <c r="O34" i="3"/>
  <c r="AA34" i="3"/>
  <c r="N35" i="3"/>
  <c r="Z35" i="3"/>
  <c r="X36" i="3"/>
  <c r="Y37" i="3"/>
  <c r="S37" i="3"/>
  <c r="M37" i="3"/>
  <c r="AB37" i="3"/>
  <c r="V37" i="3"/>
  <c r="P37" i="3"/>
  <c r="U37" i="3"/>
  <c r="O37" i="3"/>
  <c r="Z38" i="3"/>
  <c r="W40" i="3"/>
  <c r="M41" i="3"/>
  <c r="X42" i="3"/>
  <c r="S43" i="3"/>
  <c r="M43" i="3"/>
  <c r="X43" i="3"/>
  <c r="R43" i="3"/>
  <c r="AB43" i="3"/>
  <c r="V43" i="3"/>
  <c r="P43" i="3"/>
  <c r="AA43" i="3"/>
  <c r="U43" i="3"/>
  <c r="O43" i="3"/>
  <c r="D40" i="13"/>
  <c r="T32" i="3"/>
  <c r="T38" i="3"/>
  <c r="R40" i="3"/>
  <c r="X40" i="3"/>
  <c r="M40" i="3"/>
  <c r="S40" i="3"/>
  <c r="Y40" i="3"/>
  <c r="P40" i="3"/>
  <c r="V40" i="3"/>
  <c r="M389" i="1" l="1"/>
  <c r="O385" i="1" s="1"/>
  <c r="O393" i="1" s="1"/>
  <c r="M339" i="1"/>
  <c r="O335" i="1" s="1"/>
  <c r="O343" i="1" s="1"/>
  <c r="M359" i="1"/>
  <c r="O355" i="1" s="1"/>
  <c r="O363" i="1" s="1"/>
  <c r="L330" i="1"/>
  <c r="L331" i="1" s="1"/>
  <c r="M331" i="1" s="1"/>
  <c r="O329" i="1" s="1"/>
  <c r="O333" i="1" s="1"/>
  <c r="L350" i="1"/>
  <c r="L351" i="1" s="1"/>
  <c r="M351" i="1" s="1"/>
  <c r="O349" i="1" s="1"/>
  <c r="O353" i="1" s="1"/>
  <c r="D69" i="13"/>
  <c r="B23" i="13"/>
  <c r="C23" i="13" s="1"/>
  <c r="D56" i="13"/>
  <c r="B54" i="13"/>
  <c r="C54" i="13" s="1"/>
  <c r="B65" i="13"/>
  <c r="C65" i="13" s="1"/>
  <c r="B47" i="13"/>
  <c r="C47" i="13" s="1"/>
  <c r="L260" i="1"/>
  <c r="L261" i="1" s="1"/>
  <c r="M261" i="1" s="1"/>
  <c r="O259" i="1" s="1"/>
  <c r="O263" i="1" s="1"/>
  <c r="M379" i="1"/>
  <c r="O375" i="1" s="1"/>
  <c r="O383" i="1" s="1"/>
  <c r="O395" i="1"/>
  <c r="M99" i="1"/>
  <c r="O95" i="1" s="1"/>
  <c r="O103" i="1" s="1"/>
  <c r="L280" i="1"/>
  <c r="L281" i="1" s="1"/>
  <c r="M281" i="1" s="1"/>
  <c r="O279" i="1" s="1"/>
  <c r="O283" i="1" s="1"/>
  <c r="AE23" i="3"/>
  <c r="AE10" i="3"/>
  <c r="L170" i="1"/>
  <c r="L171" i="1" s="1"/>
  <c r="M171" i="1" s="1"/>
  <c r="O169" i="1" s="1"/>
  <c r="O173" i="1" s="1"/>
  <c r="M129" i="1"/>
  <c r="O125" i="1" s="1"/>
  <c r="O133" i="1" s="1"/>
  <c r="M39" i="1"/>
  <c r="O35" i="1" s="1"/>
  <c r="O43" i="1" s="1"/>
  <c r="M229" i="1"/>
  <c r="O225" i="1" s="1"/>
  <c r="O233" i="1" s="1"/>
  <c r="M109" i="1"/>
  <c r="O105" i="1" s="1"/>
  <c r="O113" i="1" s="1"/>
  <c r="L20" i="1"/>
  <c r="L21" i="1" s="1"/>
  <c r="M21" i="1" s="1"/>
  <c r="O19" i="1" s="1"/>
  <c r="O23" i="1" s="1"/>
  <c r="B9" i="3"/>
  <c r="D9" i="3" s="1"/>
  <c r="C8" i="3"/>
  <c r="AD13" i="3"/>
  <c r="AD18" i="3"/>
  <c r="AD35" i="3"/>
  <c r="AE8" i="3"/>
  <c r="AY44" i="3"/>
  <c r="L320" i="1"/>
  <c r="L321" i="1" s="1"/>
  <c r="M321" i="1" s="1"/>
  <c r="O319" i="1" s="1"/>
  <c r="O323" i="1" s="1"/>
  <c r="M309" i="1"/>
  <c r="O305" i="1" s="1"/>
  <c r="O313" i="1" s="1"/>
  <c r="M299" i="1"/>
  <c r="O295" i="1" s="1"/>
  <c r="O303" i="1" s="1"/>
  <c r="L210" i="1"/>
  <c r="L211" i="1" s="1"/>
  <c r="M211" i="1" s="1"/>
  <c r="O209" i="1" s="1"/>
  <c r="O213" i="1" s="1"/>
  <c r="M89" i="1"/>
  <c r="O85" i="1" s="1"/>
  <c r="O93" i="1" s="1"/>
  <c r="L80" i="1"/>
  <c r="L81" i="1" s="1"/>
  <c r="M81" i="1" s="1"/>
  <c r="O79" i="1" s="1"/>
  <c r="O83" i="1" s="1"/>
  <c r="M69" i="1"/>
  <c r="O65" i="1" s="1"/>
  <c r="O73" i="1" s="1"/>
  <c r="M59" i="1"/>
  <c r="O55" i="1" s="1"/>
  <c r="O63" i="1" s="1"/>
  <c r="M29" i="1"/>
  <c r="O25" i="1" s="1"/>
  <c r="O33" i="1" s="1"/>
  <c r="M289" i="1"/>
  <c r="O285" i="1" s="1"/>
  <c r="O293" i="1" s="1"/>
  <c r="M199" i="1"/>
  <c r="O195" i="1" s="1"/>
  <c r="O203" i="1" s="1"/>
  <c r="M189" i="1"/>
  <c r="O185" i="1" s="1"/>
  <c r="O193" i="1" s="1"/>
  <c r="L180" i="1"/>
  <c r="L181" i="1" s="1"/>
  <c r="M181" i="1" s="1"/>
  <c r="O179" i="1" s="1"/>
  <c r="O183" i="1" s="1"/>
  <c r="M159" i="1"/>
  <c r="O155" i="1" s="1"/>
  <c r="O163" i="1" s="1"/>
  <c r="M149" i="1"/>
  <c r="O145" i="1" s="1"/>
  <c r="O153" i="1" s="1"/>
  <c r="L140" i="1"/>
  <c r="L141" i="1" s="1"/>
  <c r="M141" i="1" s="1"/>
  <c r="O139" i="1" s="1"/>
  <c r="O143" i="1" s="1"/>
  <c r="L120" i="1"/>
  <c r="L121" i="1" s="1"/>
  <c r="M121" i="1" s="1"/>
  <c r="O119" i="1" s="1"/>
  <c r="O123" i="1" s="1"/>
  <c r="M49" i="1"/>
  <c r="O45" i="1" s="1"/>
  <c r="O53" i="1" s="1"/>
  <c r="D55" i="13"/>
  <c r="B67" i="13"/>
  <c r="B56" i="13"/>
  <c r="C56" i="13" s="1"/>
  <c r="AE40" i="3"/>
  <c r="AY35" i="3"/>
  <c r="AE39" i="3"/>
  <c r="X46" i="3"/>
  <c r="AY27" i="3"/>
  <c r="AE25" i="3"/>
  <c r="Z46" i="3"/>
  <c r="O235" i="1"/>
  <c r="L240" i="1"/>
  <c r="L241" i="1" s="1"/>
  <c r="M241" i="1" s="1"/>
  <c r="O239" i="1" s="1"/>
  <c r="AE43" i="3"/>
  <c r="AE37" i="3"/>
  <c r="AE33" i="3"/>
  <c r="AE26" i="3"/>
  <c r="AD22" i="3"/>
  <c r="AE21" i="3"/>
  <c r="B58" i="13"/>
  <c r="AD27" i="3"/>
  <c r="B52" i="13"/>
  <c r="B53" i="13" s="1"/>
  <c r="C53" i="13" s="1"/>
  <c r="D70" i="13"/>
  <c r="B57" i="13"/>
  <c r="C57" i="13" s="1"/>
  <c r="B48" i="13"/>
  <c r="B49" i="13" s="1"/>
  <c r="C49" i="13" s="1"/>
  <c r="B70" i="13"/>
  <c r="C70" i="13" s="1"/>
  <c r="B59" i="13"/>
  <c r="C59" i="13" s="1"/>
  <c r="B73" i="13"/>
  <c r="B74" i="13" s="1"/>
  <c r="C74" i="13" s="1"/>
  <c r="B71" i="13"/>
  <c r="B72" i="13" s="1"/>
  <c r="C72" i="13" s="1"/>
  <c r="B50" i="13"/>
  <c r="C50" i="13" s="1"/>
  <c r="AD12" i="3"/>
  <c r="AE20" i="3"/>
  <c r="AE9" i="3"/>
  <c r="AE17" i="3"/>
  <c r="AE16" i="3"/>
  <c r="T46" i="3"/>
  <c r="Y46" i="3"/>
  <c r="L400" i="1"/>
  <c r="L401" i="1" s="1"/>
  <c r="M401" i="1" s="1"/>
  <c r="O399" i="1" s="1"/>
  <c r="O403" i="1" s="1"/>
  <c r="M249" i="1"/>
  <c r="O245" i="1" s="1"/>
  <c r="O253" i="1" s="1"/>
  <c r="AE11" i="3"/>
  <c r="O373" i="1"/>
  <c r="L270" i="1"/>
  <c r="L271" i="1" s="1"/>
  <c r="M271" i="1" s="1"/>
  <c r="O269" i="1" s="1"/>
  <c r="M269" i="1"/>
  <c r="O265" i="1" s="1"/>
  <c r="L220" i="1"/>
  <c r="L221" i="1" s="1"/>
  <c r="M221" i="1" s="1"/>
  <c r="O219" i="1" s="1"/>
  <c r="M219" i="1"/>
  <c r="O215" i="1" s="1"/>
  <c r="B69" i="13"/>
  <c r="C69" i="13" s="1"/>
  <c r="B62" i="13"/>
  <c r="C62" i="13" s="1"/>
  <c r="B63" i="13"/>
  <c r="C63" i="13" s="1"/>
  <c r="B36" i="13"/>
  <c r="C36" i="13" s="1"/>
  <c r="B38" i="13"/>
  <c r="C38" i="13" s="1"/>
  <c r="C37" i="13"/>
  <c r="AD15" i="3"/>
  <c r="AY15" i="3"/>
  <c r="AY23" i="3"/>
  <c r="AD23" i="3"/>
  <c r="V46" i="3"/>
  <c r="AE38" i="3"/>
  <c r="AE19" i="3"/>
  <c r="C41" i="13"/>
  <c r="B42" i="13"/>
  <c r="C42" i="13" s="1"/>
  <c r="AE42" i="3"/>
  <c r="AE29" i="3"/>
  <c r="S46" i="3"/>
  <c r="AD24" i="3"/>
  <c r="AY24" i="3"/>
  <c r="P46" i="3"/>
  <c r="C25" i="1"/>
  <c r="D15" i="1"/>
  <c r="AD11" i="3"/>
  <c r="AY11" i="3"/>
  <c r="AY18" i="3"/>
  <c r="AD29" i="3"/>
  <c r="AY29" i="3"/>
  <c r="AY25" i="3"/>
  <c r="AD25" i="3"/>
  <c r="AY21" i="3"/>
  <c r="AD21" i="3"/>
  <c r="AY19" i="3"/>
  <c r="AD19" i="3"/>
  <c r="AD43" i="3"/>
  <c r="AY43" i="3"/>
  <c r="C18" i="13"/>
  <c r="B19" i="13"/>
  <c r="C19" i="13" s="1"/>
  <c r="C28" i="13"/>
  <c r="B31" i="13"/>
  <c r="C31" i="13" s="1"/>
  <c r="B21" i="13"/>
  <c r="C21" i="13" s="1"/>
  <c r="AE32" i="3"/>
  <c r="AY45" i="3"/>
  <c r="AD45" i="3"/>
  <c r="AE44" i="3"/>
  <c r="AE30" i="3"/>
  <c r="AD17" i="3"/>
  <c r="AY17" i="3"/>
  <c r="B55" i="13"/>
  <c r="C55" i="13" s="1"/>
  <c r="AE14" i="3"/>
  <c r="AD44" i="3"/>
  <c r="AE22" i="3"/>
  <c r="AY14" i="3"/>
  <c r="AD14" i="3"/>
  <c r="AE28" i="3"/>
  <c r="M46" i="3"/>
  <c r="AD7" i="3"/>
  <c r="AY7" i="3"/>
  <c r="AD9" i="3"/>
  <c r="AY9" i="3"/>
  <c r="AA46" i="3"/>
  <c r="Q46" i="3"/>
  <c r="AE12" i="3"/>
  <c r="AY8" i="3"/>
  <c r="C15" i="13"/>
  <c r="B16" i="13"/>
  <c r="C16" i="13" s="1"/>
  <c r="AD32" i="3"/>
  <c r="AY32" i="3"/>
  <c r="AE41" i="3"/>
  <c r="AY34" i="3"/>
  <c r="AD34" i="3"/>
  <c r="AY36" i="3"/>
  <c r="AD36" i="3"/>
  <c r="AD20" i="3"/>
  <c r="AY20" i="3"/>
  <c r="AE15" i="3"/>
  <c r="AE18" i="3"/>
  <c r="U46" i="3"/>
  <c r="AC46" i="3"/>
  <c r="AD8" i="3"/>
  <c r="C45" i="13"/>
  <c r="B46" i="13"/>
  <c r="C46" i="13" s="1"/>
  <c r="B44" i="13"/>
  <c r="C44" i="13" s="1"/>
  <c r="C43" i="13"/>
  <c r="AE34" i="3"/>
  <c r="AD41" i="3"/>
  <c r="AY41" i="3"/>
  <c r="AY33" i="3"/>
  <c r="AD33" i="3"/>
  <c r="AY42" i="3"/>
  <c r="AD42" i="3"/>
  <c r="AY30" i="3"/>
  <c r="AD30" i="3"/>
  <c r="C58" i="13"/>
  <c r="B61" i="13"/>
  <c r="C61" i="13" s="1"/>
  <c r="AY39" i="3"/>
  <c r="AD39" i="3"/>
  <c r="AD38" i="3"/>
  <c r="AY38" i="3"/>
  <c r="AD26" i="3"/>
  <c r="AY26" i="3"/>
  <c r="AY22" i="3"/>
  <c r="AY28" i="3"/>
  <c r="AD28" i="3"/>
  <c r="AD10" i="3"/>
  <c r="AY10" i="3"/>
  <c r="R46" i="3"/>
  <c r="AY12" i="3"/>
  <c r="AD16" i="3"/>
  <c r="AY16" i="3"/>
  <c r="O46" i="3"/>
  <c r="W46" i="3"/>
  <c r="AE7" i="3"/>
  <c r="AY37" i="3"/>
  <c r="AD37" i="3"/>
  <c r="AY40" i="3"/>
  <c r="AD40" i="3"/>
  <c r="B25" i="13"/>
  <c r="C25" i="13" s="1"/>
  <c r="AE35" i="3"/>
  <c r="C33" i="13"/>
  <c r="B34" i="13"/>
  <c r="C34" i="13" s="1"/>
  <c r="AE36" i="3"/>
  <c r="AE45" i="3"/>
  <c r="AY31" i="3"/>
  <c r="AD31" i="3"/>
  <c r="AE27" i="3"/>
  <c r="AE31" i="3"/>
  <c r="AE13" i="3"/>
  <c r="AE24" i="3"/>
  <c r="AB46" i="3"/>
  <c r="N46" i="3"/>
  <c r="AY13" i="3"/>
  <c r="B66" i="13" l="1"/>
  <c r="C66" i="13" s="1"/>
  <c r="C71" i="13"/>
  <c r="C73" i="13"/>
  <c r="B64" i="13"/>
  <c r="C64" i="13" s="1"/>
  <c r="B51" i="13"/>
  <c r="C51" i="13" s="1"/>
  <c r="B68" i="13"/>
  <c r="C68" i="13" s="1"/>
  <c r="C67" i="13"/>
  <c r="C52" i="13"/>
  <c r="C9" i="3"/>
  <c r="B10" i="3"/>
  <c r="C10" i="3" s="1"/>
  <c r="O223" i="1"/>
  <c r="O243" i="1"/>
  <c r="C48" i="13"/>
  <c r="O273" i="1"/>
  <c r="E8" i="3"/>
  <c r="AD46" i="3"/>
  <c r="C35" i="1"/>
  <c r="D25" i="1"/>
  <c r="E25" i="1" s="1"/>
  <c r="AE46" i="3"/>
  <c r="AF7" i="3"/>
  <c r="AF8" i="3" s="1"/>
  <c r="AF9" i="3" s="1"/>
  <c r="AF10" i="3" s="1"/>
  <c r="AF11" i="3" s="1"/>
  <c r="AF12" i="3" s="1"/>
  <c r="AF13" i="3" s="1"/>
  <c r="AF14" i="3" s="1"/>
  <c r="AF15" i="3" s="1"/>
  <c r="AF16" i="3" s="1"/>
  <c r="AF17" i="3" s="1"/>
  <c r="AF18" i="3" s="1"/>
  <c r="AF19" i="3" s="1"/>
  <c r="AF20" i="3" s="1"/>
  <c r="AF21" i="3" s="1"/>
  <c r="AF22" i="3" s="1"/>
  <c r="AF23" i="3" s="1"/>
  <c r="AF24" i="3" s="1"/>
  <c r="AF25" i="3" s="1"/>
  <c r="AF26" i="3" s="1"/>
  <c r="AF27" i="3" s="1"/>
  <c r="AF28" i="3" s="1"/>
  <c r="AF29" i="3" s="1"/>
  <c r="AF30" i="3" s="1"/>
  <c r="AF31" i="3" s="1"/>
  <c r="AF32" i="3" s="1"/>
  <c r="AF33" i="3" s="1"/>
  <c r="AF34" i="3" s="1"/>
  <c r="AF35" i="3" s="1"/>
  <c r="AF36" i="3" s="1"/>
  <c r="AF37" i="3" s="1"/>
  <c r="AF38" i="3" s="1"/>
  <c r="AF39" i="3" s="1"/>
  <c r="AF40" i="3" s="1"/>
  <c r="AF41" i="3" s="1"/>
  <c r="AF42" i="3" s="1"/>
  <c r="AF43" i="3" s="1"/>
  <c r="AF44" i="3" s="1"/>
  <c r="AF45" i="3" s="1"/>
  <c r="E7" i="3" l="1"/>
  <c r="E9" i="3"/>
  <c r="E15" i="1"/>
  <c r="B11" i="3"/>
  <c r="C11" i="3" s="1"/>
  <c r="D10" i="3"/>
  <c r="E10" i="3" s="1"/>
  <c r="C45" i="1"/>
  <c r="D35" i="1"/>
  <c r="E35" i="1" s="1"/>
  <c r="D11" i="3" l="1"/>
  <c r="E11" i="3" s="1"/>
  <c r="B12" i="3"/>
  <c r="D12" i="3" s="1"/>
  <c r="C55" i="1"/>
  <c r="D45" i="1"/>
  <c r="E45" i="1" s="1"/>
  <c r="C12" i="3" l="1"/>
  <c r="E12" i="3" s="1"/>
  <c r="B13" i="3"/>
  <c r="B14" i="3" s="1"/>
  <c r="C65" i="1"/>
  <c r="D55" i="1"/>
  <c r="E55" i="1" s="1"/>
  <c r="D13" i="3" l="1"/>
  <c r="C13" i="3"/>
  <c r="B15" i="3"/>
  <c r="D14" i="3"/>
  <c r="C14" i="3"/>
  <c r="C75" i="1"/>
  <c r="D65" i="1"/>
  <c r="E65" i="1" s="1"/>
  <c r="E13" i="3" l="1"/>
  <c r="C85" i="1"/>
  <c r="D75" i="1"/>
  <c r="E75" i="1" s="1"/>
  <c r="E14" i="3"/>
  <c r="D15" i="3"/>
  <c r="B16" i="3"/>
  <c r="C15" i="3"/>
  <c r="E15" i="3" l="1"/>
  <c r="D16" i="3"/>
  <c r="B17" i="3"/>
  <c r="C16" i="3"/>
  <c r="C95" i="1"/>
  <c r="D85" i="1"/>
  <c r="E85" i="1" s="1"/>
  <c r="C105" i="1" l="1"/>
  <c r="D95" i="1"/>
  <c r="E95" i="1" s="1"/>
  <c r="E16" i="3"/>
  <c r="D17" i="3"/>
  <c r="B18" i="3"/>
  <c r="C17" i="3"/>
  <c r="E17" i="3" l="1"/>
  <c r="D18" i="3"/>
  <c r="B19" i="3"/>
  <c r="C18" i="3"/>
  <c r="C115" i="1"/>
  <c r="D105" i="1"/>
  <c r="E105" i="1" s="1"/>
  <c r="E18" i="3" l="1"/>
  <c r="C125" i="1"/>
  <c r="D115" i="1"/>
  <c r="E115" i="1" s="1"/>
  <c r="B20" i="3"/>
  <c r="C19" i="3"/>
  <c r="D19" i="3"/>
  <c r="E19" i="3" l="1"/>
  <c r="D20" i="3"/>
  <c r="B21" i="3"/>
  <c r="C20" i="3"/>
  <c r="C135" i="1"/>
  <c r="D125" i="1"/>
  <c r="E125" i="1" s="1"/>
  <c r="C145" i="1" l="1"/>
  <c r="D135" i="1"/>
  <c r="E135" i="1" s="1"/>
  <c r="E20" i="3"/>
  <c r="B22" i="3"/>
  <c r="C21" i="3"/>
  <c r="D21" i="3"/>
  <c r="E21" i="3" l="1"/>
  <c r="C22" i="3"/>
  <c r="B23" i="3"/>
  <c r="D22" i="3"/>
  <c r="C155" i="1"/>
  <c r="D145" i="1"/>
  <c r="E145" i="1" s="1"/>
  <c r="B24" i="3" l="1"/>
  <c r="D23" i="3"/>
  <c r="C23" i="3"/>
  <c r="C165" i="1"/>
  <c r="D155" i="1"/>
  <c r="E155" i="1" s="1"/>
  <c r="E22" i="3"/>
  <c r="E23" i="3" l="1"/>
  <c r="C175" i="1"/>
  <c r="D165" i="1"/>
  <c r="E165" i="1" s="1"/>
  <c r="B25" i="3"/>
  <c r="D24" i="3"/>
  <c r="C24" i="3"/>
  <c r="E24" i="3" l="1"/>
  <c r="D25" i="3"/>
  <c r="C25" i="3"/>
  <c r="B26" i="3"/>
  <c r="C185" i="1"/>
  <c r="D175" i="1"/>
  <c r="E175" i="1" s="1"/>
  <c r="E25" i="3" l="1"/>
  <c r="C195" i="1"/>
  <c r="D185" i="1"/>
  <c r="E185" i="1" s="1"/>
  <c r="D26" i="3"/>
  <c r="B27" i="3"/>
  <c r="C26" i="3"/>
  <c r="E26" i="3" l="1"/>
  <c r="B28" i="3"/>
  <c r="C27" i="3"/>
  <c r="D27" i="3"/>
  <c r="C205" i="1"/>
  <c r="D195" i="1"/>
  <c r="E195" i="1" s="1"/>
  <c r="C215" i="1" l="1"/>
  <c r="D205" i="1"/>
  <c r="E205" i="1" s="1"/>
  <c r="E27" i="3"/>
  <c r="D28" i="3"/>
  <c r="B29" i="3"/>
  <c r="C28" i="3"/>
  <c r="E28" i="3" l="1"/>
  <c r="D29" i="3"/>
  <c r="B30" i="3"/>
  <c r="C29" i="3"/>
  <c r="D215" i="1"/>
  <c r="E215" i="1" s="1"/>
  <c r="C225" i="1"/>
  <c r="E29" i="3" l="1"/>
  <c r="B31" i="3"/>
  <c r="C30" i="3"/>
  <c r="D30" i="3"/>
  <c r="C235" i="1"/>
  <c r="D225" i="1"/>
  <c r="E225" i="1" s="1"/>
  <c r="E30" i="3" l="1"/>
  <c r="D235" i="1"/>
  <c r="E235" i="1" s="1"/>
  <c r="C245" i="1"/>
  <c r="B32" i="3"/>
  <c r="D31" i="3"/>
  <c r="C31" i="3"/>
  <c r="E31" i="3" l="1"/>
  <c r="B33" i="3"/>
  <c r="D32" i="3"/>
  <c r="C32" i="3"/>
  <c r="C255" i="1"/>
  <c r="D245" i="1"/>
  <c r="E245" i="1" s="1"/>
  <c r="D255" i="1" l="1"/>
  <c r="E255" i="1" s="1"/>
  <c r="C265" i="1"/>
  <c r="E32" i="3"/>
  <c r="B34" i="3"/>
  <c r="C33" i="3"/>
  <c r="D33" i="3"/>
  <c r="D34" i="3" l="1"/>
  <c r="C34" i="3"/>
  <c r="B35" i="3"/>
  <c r="E33" i="3"/>
  <c r="C275" i="1"/>
  <c r="D265" i="1"/>
  <c r="E265" i="1" s="1"/>
  <c r="D275" i="1" l="1"/>
  <c r="E275" i="1" s="1"/>
  <c r="C285" i="1"/>
  <c r="D35" i="3"/>
  <c r="B36" i="3"/>
  <c r="C35" i="3"/>
  <c r="E34" i="3"/>
  <c r="E35" i="3" l="1"/>
  <c r="B37" i="3"/>
  <c r="C36" i="3"/>
  <c r="D36" i="3"/>
  <c r="C295" i="1"/>
  <c r="D285" i="1"/>
  <c r="E285" i="1" s="1"/>
  <c r="D295" i="1" l="1"/>
  <c r="E295" i="1" s="1"/>
  <c r="C305" i="1"/>
  <c r="E36" i="3"/>
  <c r="B38" i="3"/>
  <c r="C37" i="3"/>
  <c r="D37" i="3"/>
  <c r="E37" i="3" l="1"/>
  <c r="D38" i="3"/>
  <c r="B39" i="3"/>
  <c r="C38" i="3"/>
  <c r="C315" i="1"/>
  <c r="D305" i="1"/>
  <c r="E305" i="1" s="1"/>
  <c r="D315" i="1" l="1"/>
  <c r="E315" i="1" s="1"/>
  <c r="C325" i="1"/>
  <c r="E38" i="3"/>
  <c r="B40" i="3"/>
  <c r="C39" i="3"/>
  <c r="D39" i="3"/>
  <c r="E39" i="3" l="1"/>
  <c r="D40" i="3"/>
  <c r="B41" i="3"/>
  <c r="C40" i="3"/>
  <c r="C335" i="1"/>
  <c r="D325" i="1"/>
  <c r="E325" i="1" s="1"/>
  <c r="E40" i="3" l="1"/>
  <c r="D335" i="1"/>
  <c r="E335" i="1" s="1"/>
  <c r="C345" i="1"/>
  <c r="D41" i="3"/>
  <c r="B42" i="3"/>
  <c r="C41" i="3"/>
  <c r="E41" i="3" l="1"/>
  <c r="B43" i="3"/>
  <c r="C42" i="3"/>
  <c r="D42" i="3"/>
  <c r="C355" i="1"/>
  <c r="D345" i="1"/>
  <c r="E345" i="1" s="1"/>
  <c r="D355" i="1" l="1"/>
  <c r="E355" i="1" s="1"/>
  <c r="C365" i="1"/>
  <c r="E42" i="3"/>
  <c r="D43" i="3"/>
  <c r="B44" i="3"/>
  <c r="C43" i="3"/>
  <c r="E43" i="3" l="1"/>
  <c r="D44" i="3"/>
  <c r="B45" i="3"/>
  <c r="C44" i="3"/>
  <c r="C375" i="1"/>
  <c r="D365" i="1"/>
  <c r="E365" i="1" s="1"/>
  <c r="D375" i="1" l="1"/>
  <c r="E375" i="1" s="1"/>
  <c r="C385" i="1"/>
  <c r="E44" i="3"/>
  <c r="C45" i="3"/>
  <c r="D45" i="3"/>
  <c r="E45" i="3" l="1"/>
  <c r="C395" i="1"/>
  <c r="D395" i="1" s="1"/>
  <c r="E395" i="1" s="1"/>
  <c r="D385" i="1"/>
  <c r="E38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v094023</author>
    <author>松井　信介</author>
    <author>渡辺隆幸</author>
    <author>vic-suzuki</author>
  </authors>
  <commentList>
    <comment ref="U2" authorId="0" shapeId="0" xr:uid="{00000000-0006-0000-0000-000001000000}">
      <text>
        <r>
          <rPr>
            <b/>
            <sz val="9"/>
            <color indexed="81"/>
            <rFont val="ＭＳ Ｐゴシック"/>
            <family val="3"/>
            <charset val="128"/>
          </rPr>
          <t xml:space="preserve">直接入力可能
</t>
        </r>
      </text>
    </comment>
    <comment ref="L12" authorId="1" shapeId="0" xr:uid="{00000000-0006-0000-0000-000002000000}">
      <text>
        <r>
          <rPr>
            <sz val="9"/>
            <color indexed="81"/>
            <rFont val="ＭＳ Ｐゴシック"/>
            <family val="3"/>
            <charset val="128"/>
          </rPr>
          <t>定時間</t>
        </r>
      </text>
    </comment>
    <comment ref="M12" authorId="1" shapeId="0" xr:uid="{00000000-0006-0000-0000-000003000000}">
      <text>
        <r>
          <rPr>
            <sz val="9"/>
            <color indexed="81"/>
            <rFont val="ＭＳ Ｐゴシック"/>
            <family val="3"/>
            <charset val="128"/>
          </rPr>
          <t>定時間</t>
        </r>
      </text>
    </comment>
    <comment ref="F13" authorId="2" shapeId="0" xr:uid="{00000000-0006-0000-0000-000004000000}">
      <text>
        <r>
          <rPr>
            <sz val="12"/>
            <color indexed="81"/>
            <rFont val="ＭＳ Ｐゴシック"/>
            <family val="3"/>
            <charset val="128"/>
          </rPr>
          <t xml:space="preserve">900のように数字で入れてください。"："は要りません。
</t>
        </r>
      </text>
    </comment>
    <comment ref="K13" authorId="0" shapeId="0" xr:uid="{00000000-0006-0000-0000-000005000000}">
      <text>
        <r>
          <rPr>
            <sz val="9"/>
            <color indexed="81"/>
            <rFont val="ＭＳ Ｐゴシック"/>
            <family val="3"/>
            <charset val="128"/>
          </rPr>
          <t xml:space="preserve">  0分＝0.00、 5分＝0.09
10分＝0.17、15分＝0.25
20分＝0.34、25分＝0.42
30分＝0.50、35分＝0.59
40分＝0.67、45分＝0.75
50分＝0.84、55分＝0.92</t>
        </r>
      </text>
    </comment>
    <comment ref="O13" authorId="3" shapeId="0" xr:uid="{00000000-0006-0000-0000-000006000000}">
      <text>
        <r>
          <rPr>
            <sz val="9"/>
            <color indexed="81"/>
            <rFont val="ＭＳ Ｐゴシック"/>
            <family val="3"/>
            <charset val="128"/>
          </rPr>
          <t>時間内
時間外
合計</t>
        </r>
      </text>
    </comment>
    <comment ref="P13" authorId="3" shapeId="0" xr:uid="{00000000-0006-0000-0000-000007000000}">
      <text>
        <r>
          <rPr>
            <sz val="9"/>
            <color indexed="81"/>
            <rFont val="ＭＳ Ｐゴシック"/>
            <family val="3"/>
            <charset val="128"/>
          </rPr>
          <t xml:space="preserve">定時＋休出
休暇
時間外
深夜
合計
</t>
        </r>
      </text>
    </comment>
    <comment ref="T13" authorId="0" shapeId="0" xr:uid="{00000000-0006-0000-0000-000008000000}">
      <text>
        <r>
          <rPr>
            <b/>
            <sz val="9"/>
            <color indexed="81"/>
            <rFont val="ＭＳ Ｐゴシック"/>
            <family val="3"/>
            <charset val="128"/>
          </rPr>
          <t xml:space="preserve">未使用
</t>
        </r>
      </text>
    </comment>
    <comment ref="Y13" authorId="0" shapeId="0" xr:uid="{00000000-0006-0000-0000-000009000000}">
      <text>
        <r>
          <rPr>
            <b/>
            <sz val="9"/>
            <color indexed="81"/>
            <rFont val="ＭＳ Ｐゴシック"/>
            <family val="3"/>
            <charset val="128"/>
          </rPr>
          <t>任意項目
（EA1Gのみ使用）</t>
        </r>
      </text>
    </comment>
    <comment ref="AA13" authorId="0" shapeId="0" xr:uid="{00000000-0006-0000-0000-00000A000000}">
      <text>
        <r>
          <rPr>
            <b/>
            <sz val="9"/>
            <color indexed="81"/>
            <rFont val="ＭＳ Ｐゴシック"/>
            <family val="3"/>
            <charset val="128"/>
          </rPr>
          <t>任意項目
（EA1Gのみ使用）</t>
        </r>
      </text>
    </comment>
    <comment ref="AB13" authorId="0" shapeId="0" xr:uid="{00000000-0006-0000-0000-00000B000000}">
      <text>
        <r>
          <rPr>
            <sz val="9"/>
            <color indexed="81"/>
            <rFont val="ＭＳ Ｐゴシック"/>
            <family val="3"/>
            <charset val="128"/>
          </rPr>
          <t>各出退勤区分に該当する「時間区分」が不明な場合は、シート「勤務区分表」を参考にしてください。</t>
        </r>
      </text>
    </comment>
    <comment ref="AC13" authorId="0" shapeId="0" xr:uid="{00000000-0006-0000-0000-00000C000000}">
      <text>
        <r>
          <rPr>
            <sz val="9"/>
            <color indexed="81"/>
            <rFont val="ＭＳ Ｐゴシック"/>
            <family val="3"/>
            <charset val="128"/>
          </rPr>
          <t>1分単位で入力</t>
        </r>
      </text>
    </comment>
    <comment ref="AE13" authorId="0" shapeId="0" xr:uid="{00000000-0006-0000-0000-00000D000000}">
      <text>
        <r>
          <rPr>
            <b/>
            <sz val="9"/>
            <color indexed="81"/>
            <rFont val="ＭＳ Ｐゴシック"/>
            <family val="3"/>
            <charset val="128"/>
          </rPr>
          <t>任意項目
（EA1Gのみ使用）</t>
        </r>
      </text>
    </comment>
    <comment ref="AF13" authorId="0" shapeId="0" xr:uid="{00000000-0006-0000-0000-00000E000000}">
      <text>
        <r>
          <rPr>
            <b/>
            <sz val="9"/>
            <color indexed="81"/>
            <rFont val="ＭＳ Ｐゴシック"/>
            <family val="3"/>
            <charset val="128"/>
          </rPr>
          <t>任意項目
（EA1Gのみ使用）</t>
        </r>
      </text>
    </comment>
    <comment ref="AG13" authorId="0" shapeId="0" xr:uid="{00000000-0006-0000-0000-00000F000000}">
      <text>
        <r>
          <rPr>
            <b/>
            <sz val="9"/>
            <color indexed="81"/>
            <rFont val="ＭＳ Ｐゴシック"/>
            <family val="3"/>
            <charset val="128"/>
          </rPr>
          <t>任意項目
（EA1Gのみ使用）</t>
        </r>
      </text>
    </comment>
    <comment ref="I14" authorId="0" shapeId="0" xr:uid="{00000000-0006-0000-0000-000010000000}">
      <text>
        <r>
          <rPr>
            <b/>
            <sz val="9"/>
            <color indexed="81"/>
            <rFont val="ＭＳ Ｐゴシック"/>
            <family val="3"/>
            <charset val="128"/>
          </rPr>
          <t>協力会社の方は入力不要</t>
        </r>
      </text>
    </comment>
    <comment ref="J14" authorId="0" shapeId="0" xr:uid="{00000000-0006-0000-0000-000011000000}">
      <text>
        <r>
          <rPr>
            <b/>
            <sz val="9"/>
            <color indexed="81"/>
            <rFont val="ＭＳ Ｐゴシック"/>
            <family val="3"/>
            <charset val="128"/>
          </rPr>
          <t>協力会社の方は入力不要</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v094023</author>
  </authors>
  <commentList>
    <comment ref="J8" authorId="0" shapeId="0" xr:uid="{00000000-0006-0000-0600-000001000000}">
      <text>
        <r>
          <rPr>
            <b/>
            <sz val="9"/>
            <color indexed="81"/>
            <rFont val="ＭＳ Ｐゴシック"/>
            <family val="3"/>
            <charset val="128"/>
          </rPr>
          <t>(ver.1.46)改行コード削除</t>
        </r>
        <r>
          <rPr>
            <sz val="9"/>
            <color indexed="81"/>
            <rFont val="ＭＳ Ｐゴシック"/>
            <family val="3"/>
            <charset val="128"/>
          </rPr>
          <t xml:space="preserve">
</t>
        </r>
      </text>
    </comment>
    <comment ref="J11" authorId="0" shapeId="0" xr:uid="{00000000-0006-0000-0600-000002000000}">
      <text>
        <r>
          <rPr>
            <b/>
            <sz val="9"/>
            <color indexed="81"/>
            <rFont val="ＭＳ Ｐゴシック"/>
            <family val="3"/>
            <charset val="128"/>
          </rPr>
          <t>(ver.1.46)改行コード削除</t>
        </r>
        <r>
          <rPr>
            <sz val="9"/>
            <color indexed="81"/>
            <rFont val="ＭＳ Ｐゴシック"/>
            <family val="3"/>
            <charset val="128"/>
          </rPr>
          <t xml:space="preserve">
</t>
        </r>
      </text>
    </comment>
  </commentList>
</comments>
</file>

<file path=xl/sharedStrings.xml><?xml version="1.0" encoding="utf-8"?>
<sst xmlns="http://schemas.openxmlformats.org/spreadsheetml/2006/main" count="2145" uniqueCount="663">
  <si>
    <t>作業実績入力シート</t>
    <rPh sb="0" eb="2">
      <t>サギョウ</t>
    </rPh>
    <rPh sb="2" eb="4">
      <t>ジッセキ</t>
    </rPh>
    <rPh sb="4" eb="6">
      <t>ニュウリョク</t>
    </rPh>
    <phoneticPr fontId="3"/>
  </si>
  <si>
    <t>部署</t>
    <rPh sb="0" eb="2">
      <t>ブショ</t>
    </rPh>
    <phoneticPr fontId="3"/>
  </si>
  <si>
    <t>所属</t>
    <rPh sb="0" eb="2">
      <t>ショゾク</t>
    </rPh>
    <phoneticPr fontId="3"/>
  </si>
  <si>
    <t>開始日</t>
    <rPh sb="0" eb="3">
      <t>カイシビ</t>
    </rPh>
    <phoneticPr fontId="3"/>
  </si>
  <si>
    <t>会社名</t>
    <rPh sb="0" eb="3">
      <t>カイシャメイ</t>
    </rPh>
    <phoneticPr fontId="3"/>
  </si>
  <si>
    <t>契約形態</t>
    <rPh sb="0" eb="2">
      <t>ケイヤク</t>
    </rPh>
    <rPh sb="2" eb="4">
      <t>ケイタイ</t>
    </rPh>
    <phoneticPr fontId="3"/>
  </si>
  <si>
    <t>社員区分</t>
    <rPh sb="0" eb="2">
      <t>シャイン</t>
    </rPh>
    <rPh sb="2" eb="4">
      <t>クブン</t>
    </rPh>
    <phoneticPr fontId="3"/>
  </si>
  <si>
    <t>社員番号</t>
    <rPh sb="0" eb="2">
      <t>シャイン</t>
    </rPh>
    <rPh sb="2" eb="4">
      <t>バンゴウ</t>
    </rPh>
    <phoneticPr fontId="3"/>
  </si>
  <si>
    <t>氏名</t>
    <rPh sb="0" eb="2">
      <t>シメイ</t>
    </rPh>
    <phoneticPr fontId="3"/>
  </si>
  <si>
    <t>資格</t>
  </si>
  <si>
    <t>終了日</t>
    <rPh sb="0" eb="3">
      <t>シュウリョウビ</t>
    </rPh>
    <phoneticPr fontId="3"/>
  </si>
  <si>
    <t>注文番号</t>
    <rPh sb="0" eb="2">
      <t>チュウモン</t>
    </rPh>
    <rPh sb="2" eb="4">
      <t>バンゴウ</t>
    </rPh>
    <phoneticPr fontId="3"/>
  </si>
  <si>
    <t>実施責任者</t>
    <rPh sb="0" eb="2">
      <t>ジッシ</t>
    </rPh>
    <rPh sb="2" eb="5">
      <t>セキニンシャ</t>
    </rPh>
    <phoneticPr fontId="3"/>
  </si>
  <si>
    <t>月</t>
    <rPh sb="0" eb="1">
      <t>ツキ</t>
    </rPh>
    <phoneticPr fontId="3"/>
  </si>
  <si>
    <t>日</t>
    <rPh sb="0" eb="1">
      <t>ニチ</t>
    </rPh>
    <phoneticPr fontId="3"/>
  </si>
  <si>
    <t>曜日</t>
    <rPh sb="0" eb="2">
      <t>ヨウビ</t>
    </rPh>
    <phoneticPr fontId="3"/>
  </si>
  <si>
    <t>法定/
法定外</t>
    <rPh sb="0" eb="2">
      <t>ホウテイ</t>
    </rPh>
    <rPh sb="4" eb="6">
      <t>ホウテイ</t>
    </rPh>
    <rPh sb="6" eb="7">
      <t>ガイ</t>
    </rPh>
    <phoneticPr fontId="3"/>
  </si>
  <si>
    <t>開始</t>
    <rPh sb="0" eb="2">
      <t>カイシ</t>
    </rPh>
    <phoneticPr fontId="3"/>
  </si>
  <si>
    <t>終了</t>
    <rPh sb="0" eb="2">
      <t>シュウリョウ</t>
    </rPh>
    <phoneticPr fontId="3"/>
  </si>
  <si>
    <t>休憩</t>
    <rPh sb="0" eb="2">
      <t>キュウケイ</t>
    </rPh>
    <phoneticPr fontId="3"/>
  </si>
  <si>
    <t>出退勤区分</t>
    <phoneticPr fontId="3"/>
  </si>
  <si>
    <t>遅刻
早退
時間</t>
    <rPh sb="0" eb="2">
      <t>チコク</t>
    </rPh>
    <rPh sb="3" eb="5">
      <t>ソウタイ</t>
    </rPh>
    <rPh sb="6" eb="8">
      <t>ジカン</t>
    </rPh>
    <phoneticPr fontId="3"/>
  </si>
  <si>
    <t>wk</t>
    <phoneticPr fontId="3"/>
  </si>
  <si>
    <t>wk</t>
    <phoneticPr fontId="3"/>
  </si>
  <si>
    <t>開始
終了
算出</t>
    <rPh sb="0" eb="2">
      <t>カイシ</t>
    </rPh>
    <rPh sb="3" eb="5">
      <t>シュウリョウ</t>
    </rPh>
    <rPh sb="6" eb="8">
      <t>サンシュツ</t>
    </rPh>
    <phoneticPr fontId="3"/>
  </si>
  <si>
    <t>実績
合計</t>
    <rPh sb="0" eb="2">
      <t>ジッセキ</t>
    </rPh>
    <rPh sb="3" eb="5">
      <t>ゴウケイ</t>
    </rPh>
    <phoneticPr fontId="3"/>
  </si>
  <si>
    <t>個別</t>
    <rPh sb="0" eb="1">
      <t>コ</t>
    </rPh>
    <rPh sb="1" eb="2">
      <t>ベツ</t>
    </rPh>
    <phoneticPr fontId="3"/>
  </si>
  <si>
    <t>打刻承認者
※従業員コード</t>
    <rPh sb="0" eb="2">
      <t>ダコク</t>
    </rPh>
    <rPh sb="2" eb="4">
      <t>ショウニン</t>
    </rPh>
    <rPh sb="4" eb="5">
      <t>シャ</t>
    </rPh>
    <rPh sb="7" eb="10">
      <t>ジュウギョウイン</t>
    </rPh>
    <phoneticPr fontId="7"/>
  </si>
  <si>
    <t>時間外承認者
※従業員コード</t>
    <rPh sb="0" eb="3">
      <t>ジカンガイ</t>
    </rPh>
    <rPh sb="3" eb="5">
      <t>ショウニン</t>
    </rPh>
    <rPh sb="5" eb="6">
      <t>シャ</t>
    </rPh>
    <phoneticPr fontId="7"/>
  </si>
  <si>
    <t>ﾌﾟﾛｼﾞｪｸﾄ
ｺｰﾄﾞ
（必須）</t>
    <rPh sb="15" eb="17">
      <t>ヒッス</t>
    </rPh>
    <phoneticPr fontId="3"/>
  </si>
  <si>
    <t>プロジェクト
（任意）</t>
    <rPh sb="8" eb="10">
      <t>ニンイ</t>
    </rPh>
    <phoneticPr fontId="3"/>
  </si>
  <si>
    <t>テーマ
（任意）</t>
    <rPh sb="5" eb="7">
      <t>ニンイ</t>
    </rPh>
    <phoneticPr fontId="3"/>
  </si>
  <si>
    <t>工程
（必須）</t>
    <rPh sb="0" eb="2">
      <t>コウテイ</t>
    </rPh>
    <rPh sb="4" eb="6">
      <t>ヒッス</t>
    </rPh>
    <phoneticPr fontId="3"/>
  </si>
  <si>
    <r>
      <t xml:space="preserve">作業
</t>
    </r>
    <r>
      <rPr>
        <sz val="6"/>
        <rFont val="ＭＳ ゴシック"/>
        <family val="3"/>
        <charset val="128"/>
      </rPr>
      <t xml:space="preserve">（アクティビティ）
</t>
    </r>
    <r>
      <rPr>
        <sz val="9"/>
        <rFont val="ＭＳ ゴシック"/>
        <family val="3"/>
        <charset val="128"/>
      </rPr>
      <t>（任意）</t>
    </r>
    <rPh sb="0" eb="2">
      <t>サギョウ</t>
    </rPh>
    <rPh sb="14" eb="16">
      <t>ニンイ</t>
    </rPh>
    <phoneticPr fontId="3"/>
  </si>
  <si>
    <t>時間
区分
（必須）</t>
    <rPh sb="0" eb="2">
      <t>ジカン</t>
    </rPh>
    <rPh sb="3" eb="5">
      <t>クブン</t>
    </rPh>
    <rPh sb="7" eb="9">
      <t>ヒッス</t>
    </rPh>
    <phoneticPr fontId="3"/>
  </si>
  <si>
    <t>時間
（必須）</t>
    <rPh sb="0" eb="2">
      <t>ジカン</t>
    </rPh>
    <rPh sb="4" eb="6">
      <t>ヒッス</t>
    </rPh>
    <phoneticPr fontId="3"/>
  </si>
  <si>
    <t>振替
予定日</t>
    <rPh sb="0" eb="2">
      <t>フリカエ</t>
    </rPh>
    <rPh sb="3" eb="6">
      <t>ヨテイビ</t>
    </rPh>
    <phoneticPr fontId="3"/>
  </si>
  <si>
    <t>納品
物件
（任意）</t>
    <rPh sb="0" eb="2">
      <t>ノウヒン</t>
    </rPh>
    <rPh sb="3" eb="5">
      <t>ブッケン</t>
    </rPh>
    <rPh sb="7" eb="9">
      <t>ニンイ</t>
    </rPh>
    <phoneticPr fontId="3"/>
  </si>
  <si>
    <t>本数
（任意）</t>
    <rPh sb="0" eb="2">
      <t>ホンスウ</t>
    </rPh>
    <rPh sb="4" eb="6">
      <t>ニンイ</t>
    </rPh>
    <phoneticPr fontId="3"/>
  </si>
  <si>
    <t>step／
ﾍﾟｰｼﾞ数
（任意）</t>
    <rPh sb="14" eb="16">
      <t>ニンイ</t>
    </rPh>
    <phoneticPr fontId="3"/>
  </si>
  <si>
    <t>出退勤　備考
（任意）</t>
    <rPh sb="0" eb="3">
      <t>シュツタイキン</t>
    </rPh>
    <rPh sb="4" eb="6">
      <t>ビコウ</t>
    </rPh>
    <rPh sb="8" eb="10">
      <t>ニンイ</t>
    </rPh>
    <phoneticPr fontId="3"/>
  </si>
  <si>
    <t>メモ
（任意）</t>
    <rPh sb="4" eb="6">
      <t>ニンイ</t>
    </rPh>
    <phoneticPr fontId="3"/>
  </si>
  <si>
    <t>緊急出動</t>
    <rPh sb="0" eb="2">
      <t>キンキュウ</t>
    </rPh>
    <rPh sb="2" eb="4">
      <t>シュツドウ</t>
    </rPh>
    <phoneticPr fontId="6"/>
  </si>
  <si>
    <t>自宅待機</t>
    <rPh sb="0" eb="2">
      <t>ジタク</t>
    </rPh>
    <rPh sb="2" eb="4">
      <t>タイキ</t>
    </rPh>
    <phoneticPr fontId="6"/>
  </si>
  <si>
    <t>講習</t>
    <rPh sb="0" eb="2">
      <t>コウシュウ</t>
    </rPh>
    <phoneticPr fontId="6"/>
  </si>
  <si>
    <t>正月</t>
    <rPh sb="0" eb="2">
      <t>ショウガツ</t>
    </rPh>
    <phoneticPr fontId="6"/>
  </si>
  <si>
    <t>午前</t>
    <rPh sb="0" eb="2">
      <t>ゴゼン</t>
    </rPh>
    <phoneticPr fontId="3"/>
  </si>
  <si>
    <t>午後</t>
    <rPh sb="0" eb="2">
      <t>ゴゴ</t>
    </rPh>
    <phoneticPr fontId="3"/>
  </si>
  <si>
    <t>Ａ</t>
    <phoneticPr fontId="6"/>
  </si>
  <si>
    <t>Ｂ</t>
    <phoneticPr fontId="6"/>
  </si>
  <si>
    <t>Ｂ</t>
    <phoneticPr fontId="6"/>
  </si>
  <si>
    <t>１日</t>
    <rPh sb="1" eb="2">
      <t>ニチ</t>
    </rPh>
    <phoneticPr fontId="6"/>
  </si>
  <si>
    <t>半日</t>
    <rPh sb="0" eb="2">
      <t>ハンニチ</t>
    </rPh>
    <phoneticPr fontId="6"/>
  </si>
  <si>
    <t>バグレポート</t>
    <phoneticPr fontId="3"/>
  </si>
  <si>
    <t>NO</t>
    <phoneticPr fontId="3"/>
  </si>
  <si>
    <t>分類</t>
    <rPh sb="0" eb="2">
      <t>ブンルイ</t>
    </rPh>
    <phoneticPr fontId="3"/>
  </si>
  <si>
    <t>バグ内容</t>
    <rPh sb="2" eb="4">
      <t>ナイヨウ</t>
    </rPh>
    <phoneticPr fontId="3"/>
  </si>
  <si>
    <t>発生日</t>
    <rPh sb="0" eb="3">
      <t>ハッセイビ</t>
    </rPh>
    <phoneticPr fontId="3"/>
  </si>
  <si>
    <t>修正日</t>
    <rPh sb="0" eb="2">
      <t>シュウセイ</t>
    </rPh>
    <rPh sb="2" eb="3">
      <t>ビ</t>
    </rPh>
    <phoneticPr fontId="3"/>
  </si>
  <si>
    <t>反映Ver</t>
    <rPh sb="0" eb="2">
      <t>ハンエイ</t>
    </rPh>
    <phoneticPr fontId="3"/>
  </si>
  <si>
    <t>状態</t>
    <rPh sb="0" eb="2">
      <t>ジョウタイ</t>
    </rPh>
    <phoneticPr fontId="3"/>
  </si>
  <si>
    <t>対応内容</t>
    <rPh sb="0" eb="2">
      <t>タイオウ</t>
    </rPh>
    <rPh sb="2" eb="4">
      <t>ナイヨウ</t>
    </rPh>
    <phoneticPr fontId="3"/>
  </si>
  <si>
    <t>勤務区分変換表</t>
    <rPh sb="0" eb="2">
      <t>キンム</t>
    </rPh>
    <rPh sb="2" eb="4">
      <t>クブン</t>
    </rPh>
    <rPh sb="4" eb="6">
      <t>ヘンカン</t>
    </rPh>
    <rPh sb="6" eb="7">
      <t>ヒョウ</t>
    </rPh>
    <phoneticPr fontId="6"/>
  </si>
  <si>
    <t>「作業日報シート」の『出退勤区分』で選択できる勤務区分</t>
    <rPh sb="1" eb="3">
      <t>サギョウ</t>
    </rPh>
    <rPh sb="3" eb="5">
      <t>ニッポウ</t>
    </rPh>
    <rPh sb="11" eb="14">
      <t>シュッタイキン</t>
    </rPh>
    <rPh sb="14" eb="16">
      <t>クブン</t>
    </rPh>
    <rPh sb="18" eb="20">
      <t>センタク</t>
    </rPh>
    <rPh sb="23" eb="25">
      <t>キンム</t>
    </rPh>
    <rPh sb="25" eb="27">
      <t>クブン</t>
    </rPh>
    <phoneticPr fontId="6"/>
  </si>
  <si>
    <t>出退勤区分</t>
    <rPh sb="0" eb="3">
      <t>シュッタイキン</t>
    </rPh>
    <rPh sb="3" eb="5">
      <t>クブン</t>
    </rPh>
    <phoneticPr fontId="2"/>
  </si>
  <si>
    <t>選択する時間区分</t>
    <rPh sb="0" eb="2">
      <t>センタク</t>
    </rPh>
    <rPh sb="4" eb="6">
      <t>ジカン</t>
    </rPh>
    <rPh sb="6" eb="8">
      <t>クブン</t>
    </rPh>
    <phoneticPr fontId="2"/>
  </si>
  <si>
    <t>出勤区分</t>
    <rPh sb="0" eb="2">
      <t>シュッキン</t>
    </rPh>
    <rPh sb="2" eb="4">
      <t>クブン</t>
    </rPh>
    <phoneticPr fontId="2"/>
  </si>
  <si>
    <t>001：出勤</t>
  </si>
  <si>
    <t>1.00、1.00割増、1.25、1.35、0.25深夜、他時間外</t>
    <rPh sb="9" eb="11">
      <t>ワリマシ</t>
    </rPh>
    <rPh sb="26" eb="28">
      <t>シンヤ</t>
    </rPh>
    <rPh sb="29" eb="30">
      <t>ホカ</t>
    </rPh>
    <rPh sb="30" eb="33">
      <t>ジカンガイ</t>
    </rPh>
    <phoneticPr fontId="2"/>
  </si>
  <si>
    <t>出勤日</t>
    <rPh sb="0" eb="2">
      <t>シュッキン</t>
    </rPh>
    <rPh sb="2" eb="3">
      <t>ヒ</t>
    </rPh>
    <phoneticPr fontId="2"/>
  </si>
  <si>
    <t>002：【年休】私用</t>
  </si>
  <si>
    <t>有休</t>
  </si>
  <si>
    <t>休日</t>
    <rPh sb="0" eb="2">
      <t>キュウジツ</t>
    </rPh>
    <phoneticPr fontId="2"/>
  </si>
  <si>
    <t>003：【年休】病欠</t>
  </si>
  <si>
    <t>004：【年休】計画付与</t>
  </si>
  <si>
    <t>005：【年休】アニバーサリー</t>
  </si>
  <si>
    <t>006：【年休】WLB休暇</t>
  </si>
  <si>
    <t>007：【振休】法定</t>
  </si>
  <si>
    <t>振休</t>
  </si>
  <si>
    <t>法定</t>
    <rPh sb="0" eb="2">
      <t>ホウテイ</t>
    </rPh>
    <phoneticPr fontId="2"/>
  </si>
  <si>
    <t>008：【振休】法定外</t>
  </si>
  <si>
    <t>法定外</t>
    <rPh sb="0" eb="2">
      <t>ホウテイ</t>
    </rPh>
    <rPh sb="2" eb="3">
      <t>ガイ</t>
    </rPh>
    <phoneticPr fontId="2"/>
  </si>
  <si>
    <t>009：代休</t>
  </si>
  <si>
    <t>代休</t>
    <rPh sb="0" eb="2">
      <t>ダイキュウ</t>
    </rPh>
    <phoneticPr fontId="2"/>
  </si>
  <si>
    <t>010：遅刻</t>
  </si>
  <si>
    <t>1.00、1.00割増、1.25、0.25深夜、1.35</t>
    <rPh sb="9" eb="11">
      <t>ワリマシ</t>
    </rPh>
    <rPh sb="21" eb="23">
      <t>シンヤ</t>
    </rPh>
    <phoneticPr fontId="2"/>
  </si>
  <si>
    <t>011：早退</t>
  </si>
  <si>
    <t>012：遅刻早退</t>
  </si>
  <si>
    <t>013：【休出】法定</t>
  </si>
  <si>
    <t>1.35</t>
  </si>
  <si>
    <t>014：【休出】法定外</t>
  </si>
  <si>
    <t>法定外</t>
    <rPh sb="0" eb="2">
      <t>ホウテイ</t>
    </rPh>
    <rPh sb="2" eb="3">
      <t>ソト</t>
    </rPh>
    <phoneticPr fontId="2"/>
  </si>
  <si>
    <t>015：【保存休】私傷病</t>
  </si>
  <si>
    <t>保存休</t>
  </si>
  <si>
    <t>016：【保存休】看護</t>
  </si>
  <si>
    <t>017：【保存休】介護</t>
  </si>
  <si>
    <t>018：【特休】リフレッシュ休暇</t>
  </si>
  <si>
    <t>特休</t>
  </si>
  <si>
    <t>019：【特休】本人の結婚</t>
  </si>
  <si>
    <t>020：【特休】子女の結婚</t>
  </si>
  <si>
    <t>021：【特休】子女の出生</t>
  </si>
  <si>
    <t>022：【特休】実父母配偶死</t>
  </si>
  <si>
    <t>023：【特休】子の死亡</t>
  </si>
  <si>
    <t>024：【特休】他親族死亡</t>
  </si>
  <si>
    <t>025：【特休】兄弟姉妹結婚</t>
  </si>
  <si>
    <t>026：【特休】その他特休</t>
  </si>
  <si>
    <t>027：【特休】業務災害欠</t>
  </si>
  <si>
    <t>028：【特休】通勤災害欠</t>
  </si>
  <si>
    <t>029：【特休】介護休暇</t>
  </si>
  <si>
    <t>030：【特休】看護休暇</t>
  </si>
  <si>
    <t>031：【欠勤】普通欠</t>
  </si>
  <si>
    <t>無給休</t>
    <rPh sb="0" eb="2">
      <t>ムキュウ</t>
    </rPh>
    <rPh sb="2" eb="3">
      <t>キュウ</t>
    </rPh>
    <phoneticPr fontId="2"/>
  </si>
  <si>
    <t>032：【欠勤】無給休</t>
  </si>
  <si>
    <t>033：【欠勤】傷病欠A</t>
  </si>
  <si>
    <t>034：【欠勤】傷病欠B</t>
  </si>
  <si>
    <t>035：【欠勤】無届欠</t>
  </si>
  <si>
    <t>036：【休業】産前産後</t>
  </si>
  <si>
    <t>037：【休業】育児</t>
  </si>
  <si>
    <t>038：【休業】介護</t>
  </si>
  <si>
    <t>039：【休業】傷病休職</t>
  </si>
  <si>
    <t>040：【講習一日】法定</t>
  </si>
  <si>
    <t>1.00</t>
  </si>
  <si>
    <t>041：【講習半日】法定</t>
  </si>
  <si>
    <t>042：【講習一日】法定外</t>
  </si>
  <si>
    <t>043：【講習半日】法定外</t>
  </si>
  <si>
    <t>044：【振出】法定</t>
  </si>
  <si>
    <t>振休取得、1.00割増、1.25、1.35、0.25深夜、他時間外</t>
    <rPh sb="26" eb="28">
      <t>シンヤ</t>
    </rPh>
    <phoneticPr fontId="2"/>
  </si>
  <si>
    <t>045：【振出】法定外</t>
  </si>
  <si>
    <t>046：【振休休出】法定</t>
  </si>
  <si>
    <t>047：【振休休出】法定外</t>
  </si>
  <si>
    <t>時間区分の説明</t>
    <rPh sb="0" eb="2">
      <t>ジカン</t>
    </rPh>
    <rPh sb="2" eb="4">
      <t>クブン</t>
    </rPh>
    <rPh sb="5" eb="7">
      <t>セツメイ</t>
    </rPh>
    <phoneticPr fontId="2"/>
  </si>
  <si>
    <t>補足</t>
    <rPh sb="0" eb="2">
      <t>ホソク</t>
    </rPh>
    <phoneticPr fontId="2"/>
  </si>
  <si>
    <t>1.00　　　：定時間</t>
    <rPh sb="8" eb="10">
      <t>テイジ</t>
    </rPh>
    <rPh sb="10" eb="11">
      <t>カン</t>
    </rPh>
    <phoneticPr fontId="2"/>
  </si>
  <si>
    <t>出勤</t>
    <rPh sb="0" eb="2">
      <t>シュッキン</t>
    </rPh>
    <phoneticPr fontId="2"/>
  </si>
  <si>
    <t>1.00割増：時給者や時短勤務者が、定時間～7.75ｈ内で残業を行った場合に使用</t>
    <rPh sb="4" eb="6">
      <t>ワリマシ</t>
    </rPh>
    <rPh sb="7" eb="9">
      <t>ジキュウ</t>
    </rPh>
    <rPh sb="9" eb="10">
      <t>シャ</t>
    </rPh>
    <rPh sb="11" eb="13">
      <t>ジタン</t>
    </rPh>
    <rPh sb="13" eb="15">
      <t>キンム</t>
    </rPh>
    <rPh sb="15" eb="16">
      <t>シャ</t>
    </rPh>
    <rPh sb="18" eb="20">
      <t>テイジ</t>
    </rPh>
    <rPh sb="20" eb="21">
      <t>アイダ</t>
    </rPh>
    <rPh sb="27" eb="28">
      <t>ナイ</t>
    </rPh>
    <rPh sb="29" eb="31">
      <t>ザンギョウ</t>
    </rPh>
    <rPh sb="30" eb="31">
      <t>ジカンゴ</t>
    </rPh>
    <rPh sb="32" eb="33">
      <t>オコナ</t>
    </rPh>
    <rPh sb="35" eb="37">
      <t>バアイ</t>
    </rPh>
    <rPh sb="38" eb="40">
      <t>シヨウ</t>
    </rPh>
    <phoneticPr fontId="2"/>
  </si>
  <si>
    <t>1.25　　　：平日に残業した場合に時間外として使用</t>
    <rPh sb="8" eb="10">
      <t>ヘイジツ</t>
    </rPh>
    <rPh sb="11" eb="13">
      <t>ザンギョウ</t>
    </rPh>
    <rPh sb="15" eb="17">
      <t>バアイ</t>
    </rPh>
    <rPh sb="18" eb="21">
      <t>ジカンガイ</t>
    </rPh>
    <rPh sb="24" eb="26">
      <t>シヨウ</t>
    </rPh>
    <phoneticPr fontId="2"/>
  </si>
  <si>
    <t>1.35　　　：休日に出勤した場合に使用（振替出勤でない）</t>
    <rPh sb="8" eb="10">
      <t>キュウジツ</t>
    </rPh>
    <rPh sb="11" eb="13">
      <t>シュッキン</t>
    </rPh>
    <rPh sb="15" eb="17">
      <t>バアイ</t>
    </rPh>
    <rPh sb="18" eb="20">
      <t>シヨウ</t>
    </rPh>
    <rPh sb="21" eb="23">
      <t>フリカエ</t>
    </rPh>
    <rPh sb="23" eb="25">
      <t>シュッキン</t>
    </rPh>
    <phoneticPr fontId="2"/>
  </si>
  <si>
    <t>0.25深夜：22：00～5：00までの深夜割増時間帯に勤務した場合に使用</t>
    <rPh sb="4" eb="6">
      <t>シンヤ</t>
    </rPh>
    <rPh sb="20" eb="22">
      <t>シンヤ</t>
    </rPh>
    <rPh sb="22" eb="24">
      <t>ワリマシ</t>
    </rPh>
    <rPh sb="24" eb="27">
      <t>ジカンタイ</t>
    </rPh>
    <rPh sb="28" eb="30">
      <t>キンム</t>
    </rPh>
    <rPh sb="32" eb="34">
      <t>バアイ</t>
    </rPh>
    <rPh sb="35" eb="37">
      <t>シヨウ</t>
    </rPh>
    <phoneticPr fontId="2"/>
  </si>
  <si>
    <t>他時間外：管理職の時間外に使用</t>
    <rPh sb="0" eb="1">
      <t>ホカ</t>
    </rPh>
    <rPh sb="1" eb="4">
      <t>ジカンガイ</t>
    </rPh>
    <rPh sb="5" eb="7">
      <t>カンリ</t>
    </rPh>
    <rPh sb="7" eb="8">
      <t>ショク</t>
    </rPh>
    <rPh sb="9" eb="12">
      <t>ジカンガイ</t>
    </rPh>
    <rPh sb="13" eb="15">
      <t>シヨウ</t>
    </rPh>
    <phoneticPr fontId="2"/>
  </si>
  <si>
    <t>振休取得：休日の出勤を振替出勤（休日と平日の入替）とした場合に使用</t>
    <rPh sb="0" eb="2">
      <t>フリキュウ</t>
    </rPh>
    <rPh sb="2" eb="4">
      <t>シュトク</t>
    </rPh>
    <rPh sb="5" eb="7">
      <t>キュウジツ</t>
    </rPh>
    <rPh sb="8" eb="10">
      <t>シュッキン</t>
    </rPh>
    <rPh sb="11" eb="13">
      <t>フリカエ</t>
    </rPh>
    <rPh sb="13" eb="15">
      <t>シュッキン</t>
    </rPh>
    <rPh sb="16" eb="18">
      <t>キュウジツ</t>
    </rPh>
    <rPh sb="19" eb="21">
      <t>ヘイジツ</t>
    </rPh>
    <rPh sb="22" eb="24">
      <t>イレカエ</t>
    </rPh>
    <rPh sb="28" eb="30">
      <t>バアイ</t>
    </rPh>
    <rPh sb="31" eb="33">
      <t>シヨウ</t>
    </rPh>
    <phoneticPr fontId="2"/>
  </si>
  <si>
    <t>振休　　　：振替休日を消化した場合に使用</t>
    <rPh sb="0" eb="2">
      <t>フリキュウ</t>
    </rPh>
    <rPh sb="6" eb="8">
      <t>フリカエ</t>
    </rPh>
    <rPh sb="8" eb="10">
      <t>キュウジツ</t>
    </rPh>
    <rPh sb="11" eb="13">
      <t>ショウカ</t>
    </rPh>
    <rPh sb="15" eb="17">
      <t>バアイ</t>
    </rPh>
    <rPh sb="18" eb="20">
      <t>シヨウ</t>
    </rPh>
    <phoneticPr fontId="2"/>
  </si>
  <si>
    <t>休暇</t>
    <rPh sb="0" eb="2">
      <t>キュウカ</t>
    </rPh>
    <phoneticPr fontId="2"/>
  </si>
  <si>
    <t>有休　　　：年次有給休暇を消化した場合に使用</t>
    <rPh sb="0" eb="2">
      <t>ユウキュウ</t>
    </rPh>
    <rPh sb="6" eb="8">
      <t>ネンジ</t>
    </rPh>
    <rPh sb="8" eb="10">
      <t>ユウキュウ</t>
    </rPh>
    <rPh sb="10" eb="12">
      <t>キュウカ</t>
    </rPh>
    <rPh sb="13" eb="15">
      <t>ショウカ</t>
    </rPh>
    <rPh sb="17" eb="19">
      <t>バアイ</t>
    </rPh>
    <rPh sb="20" eb="22">
      <t>シヨウ</t>
    </rPh>
    <phoneticPr fontId="2"/>
  </si>
  <si>
    <t>保存休　 ：保存休（傷病、看護、介護）を消化した場合に使用</t>
    <rPh sb="0" eb="2">
      <t>ホゾン</t>
    </rPh>
    <rPh sb="2" eb="3">
      <t>キュウ</t>
    </rPh>
    <rPh sb="6" eb="8">
      <t>ホゾン</t>
    </rPh>
    <rPh sb="8" eb="9">
      <t>キュウ</t>
    </rPh>
    <rPh sb="10" eb="12">
      <t>ショウビョウ</t>
    </rPh>
    <rPh sb="11" eb="12">
      <t>ビョウ</t>
    </rPh>
    <rPh sb="13" eb="15">
      <t>カンゴ</t>
    </rPh>
    <rPh sb="16" eb="18">
      <t>カイゴ</t>
    </rPh>
    <rPh sb="20" eb="22">
      <t>ショウカ</t>
    </rPh>
    <rPh sb="24" eb="26">
      <t>バアイ</t>
    </rPh>
    <phoneticPr fontId="2"/>
  </si>
  <si>
    <t>特休　　　：該当の特休を申請した場合に使用</t>
    <rPh sb="0" eb="2">
      <t>トッキュウ</t>
    </rPh>
    <rPh sb="6" eb="8">
      <t>ガイトウ</t>
    </rPh>
    <rPh sb="9" eb="11">
      <t>トッキュウ</t>
    </rPh>
    <rPh sb="12" eb="14">
      <t>シンセイ</t>
    </rPh>
    <rPh sb="16" eb="18">
      <t>バアイ</t>
    </rPh>
    <rPh sb="19" eb="21">
      <t>シヨウ</t>
    </rPh>
    <phoneticPr fontId="2"/>
  </si>
  <si>
    <t>無給休　 ：該当の無給休を申請した場合に使用</t>
    <rPh sb="0" eb="2">
      <t>ムキュウ</t>
    </rPh>
    <rPh sb="2" eb="3">
      <t>キュウ</t>
    </rPh>
    <rPh sb="9" eb="11">
      <t>ムキュウ</t>
    </rPh>
    <rPh sb="11" eb="12">
      <t>キュウ</t>
    </rPh>
    <rPh sb="17" eb="19">
      <t>バアイ</t>
    </rPh>
    <rPh sb="20" eb="22">
      <t>シヨウ</t>
    </rPh>
    <phoneticPr fontId="2"/>
  </si>
  <si>
    <t>代休　　　：代休残があり、代休を消化した場合に使用（※現在の運用では代休取得はありません）</t>
    <rPh sb="0" eb="2">
      <t>ダイキュウ</t>
    </rPh>
    <rPh sb="6" eb="8">
      <t>ダイキュウ</t>
    </rPh>
    <rPh sb="8" eb="9">
      <t>ザン</t>
    </rPh>
    <rPh sb="13" eb="15">
      <t>ダイキュウ</t>
    </rPh>
    <rPh sb="16" eb="18">
      <t>ショウカ</t>
    </rPh>
    <rPh sb="20" eb="22">
      <t>バアイ</t>
    </rPh>
    <rPh sb="23" eb="25">
      <t>シヨウ</t>
    </rPh>
    <rPh sb="27" eb="29">
      <t>ゲンザイ</t>
    </rPh>
    <rPh sb="30" eb="32">
      <t>ウンヨウ</t>
    </rPh>
    <rPh sb="34" eb="36">
      <t>ダイキュウ</t>
    </rPh>
    <rPh sb="36" eb="38">
      <t>シュトク</t>
    </rPh>
    <phoneticPr fontId="2"/>
  </si>
  <si>
    <t>所属　　:</t>
    <rPh sb="0" eb="2">
      <t>ショゾク</t>
    </rPh>
    <phoneticPr fontId="6"/>
  </si>
  <si>
    <t>Excelバージョン</t>
    <phoneticPr fontId="6"/>
  </si>
  <si>
    <t>所属</t>
    <rPh sb="0" eb="2">
      <t>ショゾク</t>
    </rPh>
    <phoneticPr fontId="6"/>
  </si>
  <si>
    <t>社員番号:</t>
    <rPh sb="0" eb="2">
      <t>シャイン</t>
    </rPh>
    <rPh sb="2" eb="4">
      <t>バンゴウ</t>
    </rPh>
    <phoneticPr fontId="6"/>
  </si>
  <si>
    <t>氏名　　:</t>
    <rPh sb="0" eb="2">
      <t>シメイ</t>
    </rPh>
    <phoneticPr fontId="6"/>
  </si>
  <si>
    <t>資格　　:</t>
  </si>
  <si>
    <t>氏名</t>
    <rPh sb="0" eb="2">
      <t>シメイ</t>
    </rPh>
    <phoneticPr fontId="6"/>
  </si>
  <si>
    <t>資格</t>
    <rPh sb="0" eb="2">
      <t>シカク</t>
    </rPh>
    <phoneticPr fontId="6"/>
  </si>
  <si>
    <t>月</t>
    <rPh sb="0" eb="1">
      <t>ツキ</t>
    </rPh>
    <phoneticPr fontId="6"/>
  </si>
  <si>
    <t>日</t>
  </si>
  <si>
    <t>曜日</t>
  </si>
  <si>
    <t>法定/
法定外</t>
    <rPh sb="0" eb="2">
      <t>ホウテイ</t>
    </rPh>
    <rPh sb="4" eb="6">
      <t>ホウテイ</t>
    </rPh>
    <rPh sb="6" eb="7">
      <t>ガイ</t>
    </rPh>
    <phoneticPr fontId="6"/>
  </si>
  <si>
    <t>開始</t>
    <rPh sb="0" eb="2">
      <t>カイシ</t>
    </rPh>
    <phoneticPr fontId="6"/>
  </si>
  <si>
    <t>終了</t>
    <phoneticPr fontId="6"/>
  </si>
  <si>
    <t>承認</t>
    <rPh sb="0" eb="2">
      <t>ショウニン</t>
    </rPh>
    <phoneticPr fontId="6"/>
  </si>
  <si>
    <t>勤務区分</t>
    <rPh sb="0" eb="2">
      <t>キンム</t>
    </rPh>
    <rPh sb="2" eb="4">
      <t>クブン</t>
    </rPh>
    <phoneticPr fontId="6"/>
  </si>
  <si>
    <t>遅刻早退</t>
    <rPh sb="0" eb="2">
      <t>チコク</t>
    </rPh>
    <rPh sb="2" eb="4">
      <t>ソウタイ</t>
    </rPh>
    <phoneticPr fontId="6"/>
  </si>
  <si>
    <t>定時内</t>
    <rPh sb="0" eb="2">
      <t>テイジ</t>
    </rPh>
    <rPh sb="2" eb="3">
      <t>ナイ</t>
    </rPh>
    <phoneticPr fontId="6"/>
  </si>
  <si>
    <t>超過勤務時間</t>
    <phoneticPr fontId="6"/>
  </si>
  <si>
    <t>休日</t>
    <rPh sb="0" eb="2">
      <t>キュウジツ</t>
    </rPh>
    <phoneticPr fontId="6"/>
  </si>
  <si>
    <t>計</t>
    <rPh sb="0" eb="1">
      <t>ケイ</t>
    </rPh>
    <phoneticPr fontId="6"/>
  </si>
  <si>
    <t>出退勤　備考</t>
    <rPh sb="0" eb="3">
      <t>シュッタイキン</t>
    </rPh>
    <rPh sb="4" eb="6">
      <t>ビコウ</t>
    </rPh>
    <phoneticPr fontId="6"/>
  </si>
  <si>
    <t>時間外指示内容</t>
    <rPh sb="0" eb="3">
      <t>ジカンガイ</t>
    </rPh>
    <rPh sb="3" eb="5">
      <t>シジ</t>
    </rPh>
    <rPh sb="5" eb="7">
      <t>ナイヨウ</t>
    </rPh>
    <phoneticPr fontId="6"/>
  </si>
  <si>
    <t>振替予定日</t>
    <rPh sb="0" eb="2">
      <t>フリカエ</t>
    </rPh>
    <rPh sb="2" eb="5">
      <t>ヨテイビ</t>
    </rPh>
    <phoneticPr fontId="6"/>
  </si>
  <si>
    <t>自動振分</t>
    <rPh sb="0" eb="2">
      <t>ジドウ</t>
    </rPh>
    <rPh sb="2" eb="3">
      <t>フ</t>
    </rPh>
    <rPh sb="3" eb="4">
      <t>ワ</t>
    </rPh>
    <phoneticPr fontId="6"/>
  </si>
  <si>
    <t>出退勤区分</t>
    <rPh sb="0" eb="3">
      <t>シュッタイキン</t>
    </rPh>
    <rPh sb="3" eb="5">
      <t>クブン</t>
    </rPh>
    <phoneticPr fontId="6"/>
  </si>
  <si>
    <t>終了</t>
    <rPh sb="0" eb="2">
      <t>シュウリョウ</t>
    </rPh>
    <phoneticPr fontId="6"/>
  </si>
  <si>
    <t>労働時間
（参考値）</t>
    <rPh sb="0" eb="2">
      <t>ロウドウ</t>
    </rPh>
    <rPh sb="2" eb="4">
      <t>ジカン</t>
    </rPh>
    <rPh sb="6" eb="8">
      <t>サンコウ</t>
    </rPh>
    <rPh sb="8" eb="9">
      <t>チ</t>
    </rPh>
    <phoneticPr fontId="6"/>
  </si>
  <si>
    <t>入力計</t>
    <rPh sb="0" eb="2">
      <t>ニュウリョク</t>
    </rPh>
    <rPh sb="2" eb="3">
      <t>ケイ</t>
    </rPh>
    <phoneticPr fontId="6"/>
  </si>
  <si>
    <t>実績入力</t>
    <rPh sb="0" eb="2">
      <t>ジッセキ</t>
    </rPh>
    <rPh sb="2" eb="4">
      <t>ニュウリョク</t>
    </rPh>
    <phoneticPr fontId="6"/>
  </si>
  <si>
    <t>打刻承認者
※従業員コード</t>
    <rPh sb="0" eb="2">
      <t>ダコク</t>
    </rPh>
    <rPh sb="2" eb="4">
      <t>ショウニン</t>
    </rPh>
    <rPh sb="4" eb="5">
      <t>シャ</t>
    </rPh>
    <rPh sb="7" eb="10">
      <t>ジュウギョウイン</t>
    </rPh>
    <phoneticPr fontId="6"/>
  </si>
  <si>
    <t>時間外承認者
※従業員コード</t>
    <rPh sb="0" eb="3">
      <t>ジカンガイ</t>
    </rPh>
    <rPh sb="3" eb="5">
      <t>ショウニン</t>
    </rPh>
    <rPh sb="5" eb="6">
      <t>シャ</t>
    </rPh>
    <phoneticPr fontId="6"/>
  </si>
  <si>
    <t>午前</t>
    <rPh sb="0" eb="2">
      <t>ゴゼン</t>
    </rPh>
    <phoneticPr fontId="6"/>
  </si>
  <si>
    <t>午後</t>
    <rPh sb="0" eb="2">
      <t>ゴゴ</t>
    </rPh>
    <phoneticPr fontId="6"/>
  </si>
  <si>
    <t>時間</t>
    <rPh sb="0" eb="2">
      <t>ジカン</t>
    </rPh>
    <phoneticPr fontId="6"/>
  </si>
  <si>
    <t>1.00</t>
    <phoneticPr fontId="6"/>
  </si>
  <si>
    <t>1.00割増</t>
    <rPh sb="4" eb="6">
      <t>ワリマシ</t>
    </rPh>
    <phoneticPr fontId="6"/>
  </si>
  <si>
    <t>1.25</t>
    <phoneticPr fontId="6"/>
  </si>
  <si>
    <t>1.35</t>
    <phoneticPr fontId="6"/>
  </si>
  <si>
    <t>0.25深夜</t>
    <phoneticPr fontId="6"/>
  </si>
  <si>
    <t>0.25</t>
    <phoneticPr fontId="6"/>
  </si>
  <si>
    <t>0.35</t>
    <phoneticPr fontId="6"/>
  </si>
  <si>
    <t>他時間外</t>
    <rPh sb="0" eb="1">
      <t>タ</t>
    </rPh>
    <rPh sb="1" eb="4">
      <t>ジカンガイ</t>
    </rPh>
    <phoneticPr fontId="6"/>
  </si>
  <si>
    <t>特休</t>
    <rPh sb="0" eb="2">
      <t>トッキュウ</t>
    </rPh>
    <phoneticPr fontId="6"/>
  </si>
  <si>
    <t>有休</t>
    <rPh sb="0" eb="2">
      <t>ユウキュウ</t>
    </rPh>
    <phoneticPr fontId="6"/>
  </si>
  <si>
    <t>無給休</t>
    <rPh sb="2" eb="3">
      <t>キュウ</t>
    </rPh>
    <phoneticPr fontId="6"/>
  </si>
  <si>
    <t>無届休</t>
    <rPh sb="1" eb="2">
      <t>トド</t>
    </rPh>
    <rPh sb="2" eb="3">
      <t>キュウ</t>
    </rPh>
    <phoneticPr fontId="6"/>
  </si>
  <si>
    <t>振休</t>
    <phoneticPr fontId="6"/>
  </si>
  <si>
    <t>代休</t>
    <rPh sb="0" eb="2">
      <t>ダイキュウ</t>
    </rPh>
    <phoneticPr fontId="6"/>
  </si>
  <si>
    <t>振休取得</t>
    <rPh sb="0" eb="2">
      <t>フリキュウ</t>
    </rPh>
    <rPh sb="2" eb="4">
      <t>シュトク</t>
    </rPh>
    <phoneticPr fontId="6"/>
  </si>
  <si>
    <t>代休取得</t>
    <rPh sb="0" eb="2">
      <t>ダイキュウ</t>
    </rPh>
    <rPh sb="2" eb="4">
      <t>シュトク</t>
    </rPh>
    <phoneticPr fontId="6"/>
  </si>
  <si>
    <t>保存休</t>
    <rPh sb="0" eb="2">
      <t>ホゾン</t>
    </rPh>
    <rPh sb="2" eb="3">
      <t>キュウ</t>
    </rPh>
    <phoneticPr fontId="6"/>
  </si>
  <si>
    <t>稼働
時間</t>
    <rPh sb="0" eb="2">
      <t>カドウ</t>
    </rPh>
    <rPh sb="3" eb="5">
      <t>ジカン</t>
    </rPh>
    <phoneticPr fontId="6"/>
  </si>
  <si>
    <t>時間外
計</t>
    <rPh sb="0" eb="3">
      <t>ジカンガイ</t>
    </rPh>
    <rPh sb="4" eb="5">
      <t>ケイ</t>
    </rPh>
    <phoneticPr fontId="6"/>
  </si>
  <si>
    <t>時間外
累計</t>
    <rPh sb="0" eb="3">
      <t>ジカンガイ</t>
    </rPh>
    <rPh sb="4" eb="6">
      <t>ルイケイ</t>
    </rPh>
    <phoneticPr fontId="6"/>
  </si>
  <si>
    <t>Ａ</t>
    <phoneticPr fontId="6"/>
  </si>
  <si>
    <t>Ｂ</t>
    <phoneticPr fontId="6"/>
  </si>
  <si>
    <t>ﾌﾟﾛｼﾞｪｸﾄ
ｺｰﾄﾞ</t>
    <phoneticPr fontId="6"/>
  </si>
  <si>
    <t>時間区分</t>
    <rPh sb="0" eb="2">
      <t>ジカン</t>
    </rPh>
    <rPh sb="2" eb="4">
      <t>クブン</t>
    </rPh>
    <phoneticPr fontId="6"/>
  </si>
  <si>
    <t>ﾌﾟﾛｼﾞｪｸﾄ
ｺｰﾄﾞ</t>
    <phoneticPr fontId="6"/>
  </si>
  <si>
    <t>ﾌﾟﾛｼﾞｪｸﾄ
ｺｰﾄﾞ</t>
    <phoneticPr fontId="6"/>
  </si>
  <si>
    <t>計算用エリア</t>
    <rPh sb="0" eb="3">
      <t>ケイサンヨウ</t>
    </rPh>
    <phoneticPr fontId="6"/>
  </si>
  <si>
    <t>総計：</t>
  </si>
  <si>
    <t>一括出力</t>
    <rPh sb="0" eb="2">
      <t>イッカツ</t>
    </rPh>
    <rPh sb="2" eb="4">
      <t>シュツリョク</t>
    </rPh>
    <phoneticPr fontId="3"/>
  </si>
  <si>
    <t>指定したフォルダ内の作業実績ファイルをこのファイルに読み込み、日報Excel作成・MDB登録・CSV出力を選択実行できます。</t>
    <rPh sb="0" eb="2">
      <t>シテイ</t>
    </rPh>
    <rPh sb="8" eb="9">
      <t>ナイ</t>
    </rPh>
    <rPh sb="10" eb="12">
      <t>サギョウ</t>
    </rPh>
    <rPh sb="12" eb="14">
      <t>ジッセキ</t>
    </rPh>
    <rPh sb="26" eb="27">
      <t>ヨ</t>
    </rPh>
    <rPh sb="28" eb="29">
      <t>コ</t>
    </rPh>
    <rPh sb="31" eb="33">
      <t>ニッポウ</t>
    </rPh>
    <rPh sb="38" eb="40">
      <t>サクセイ</t>
    </rPh>
    <rPh sb="44" eb="46">
      <t>トウロク</t>
    </rPh>
    <rPh sb="50" eb="52">
      <t>シュツリョク</t>
    </rPh>
    <rPh sb="55" eb="57">
      <t>ジッコウ</t>
    </rPh>
    <phoneticPr fontId="3"/>
  </si>
  <si>
    <t>出力結果</t>
    <rPh sb="0" eb="2">
      <t>シュツリョク</t>
    </rPh>
    <rPh sb="2" eb="4">
      <t>ケッカ</t>
    </rPh>
    <phoneticPr fontId="3"/>
  </si>
  <si>
    <t>ファイル名</t>
    <rPh sb="4" eb="5">
      <t>メイ</t>
    </rPh>
    <phoneticPr fontId="3"/>
  </si>
  <si>
    <t>社員ID</t>
    <rPh sb="0" eb="2">
      <t>シャイン</t>
    </rPh>
    <phoneticPr fontId="3"/>
  </si>
  <si>
    <t>ステータス</t>
    <phoneticPr fontId="3"/>
  </si>
  <si>
    <t>メッセージ</t>
    <phoneticPr fontId="3"/>
  </si>
  <si>
    <t>CSV取込</t>
    <rPh sb="3" eb="5">
      <t>トリコミ</t>
    </rPh>
    <phoneticPr fontId="3"/>
  </si>
  <si>
    <t>指定したフォルダ内のCSVファイルをこのファイルに読み込み、日報Excel作成とMDB登録を選択実行できます。</t>
    <rPh sb="0" eb="2">
      <t>シテイ</t>
    </rPh>
    <rPh sb="8" eb="9">
      <t>ナイ</t>
    </rPh>
    <rPh sb="25" eb="26">
      <t>ヨ</t>
    </rPh>
    <rPh sb="27" eb="28">
      <t>コ</t>
    </rPh>
    <rPh sb="30" eb="32">
      <t>ニッポウ</t>
    </rPh>
    <rPh sb="37" eb="39">
      <t>サクセイ</t>
    </rPh>
    <rPh sb="43" eb="45">
      <t>トウロク</t>
    </rPh>
    <rPh sb="46" eb="48">
      <t>センタク</t>
    </rPh>
    <rPh sb="48" eb="50">
      <t>ジッコウ</t>
    </rPh>
    <phoneticPr fontId="3"/>
  </si>
  <si>
    <t>取り込み結果</t>
    <rPh sb="0" eb="1">
      <t>ト</t>
    </rPh>
    <rPh sb="2" eb="3">
      <t>コ</t>
    </rPh>
    <rPh sb="4" eb="6">
      <t>ケッカ</t>
    </rPh>
    <phoneticPr fontId="3"/>
  </si>
  <si>
    <t>メッセージ</t>
    <phoneticPr fontId="3"/>
  </si>
  <si>
    <t>データ収集シート作成</t>
    <rPh sb="3" eb="5">
      <t>シュウシュウ</t>
    </rPh>
    <rPh sb="8" eb="10">
      <t>サクセイ</t>
    </rPh>
    <phoneticPr fontId="3"/>
  </si>
  <si>
    <t>工程区分</t>
    <rPh sb="0" eb="2">
      <t>コウテイ</t>
    </rPh>
    <rPh sb="2" eb="4">
      <t>クブン</t>
    </rPh>
    <phoneticPr fontId="3"/>
  </si>
  <si>
    <t>※事業部共通</t>
    <rPh sb="1" eb="3">
      <t>ジギョウ</t>
    </rPh>
    <rPh sb="3" eb="4">
      <t>ブ</t>
    </rPh>
    <rPh sb="4" eb="6">
      <t>キョウツウ</t>
    </rPh>
    <phoneticPr fontId="3"/>
  </si>
  <si>
    <t>作業区分</t>
    <rPh sb="0" eb="2">
      <t>サギョウ</t>
    </rPh>
    <rPh sb="2" eb="4">
      <t>クブン</t>
    </rPh>
    <phoneticPr fontId="3"/>
  </si>
  <si>
    <t>時間区分</t>
    <phoneticPr fontId="3"/>
  </si>
  <si>
    <r>
      <t>契約形態　　</t>
    </r>
    <r>
      <rPr>
        <sz val="9"/>
        <color indexed="10"/>
        <rFont val="ＭＳ ゴシック"/>
        <family val="3"/>
        <charset val="128"/>
      </rPr>
      <t>※事業部共通</t>
    </r>
    <rPh sb="0" eb="2">
      <t>ケイヤク</t>
    </rPh>
    <rPh sb="2" eb="4">
      <t>ケイタイ</t>
    </rPh>
    <phoneticPr fontId="3"/>
  </si>
  <si>
    <t>作業コード拡幅対象</t>
    <rPh sb="0" eb="2">
      <t>サギョウ</t>
    </rPh>
    <rPh sb="5" eb="7">
      <t>カクフク</t>
    </rPh>
    <rPh sb="7" eb="9">
      <t>タイショウ</t>
    </rPh>
    <phoneticPr fontId="3"/>
  </si>
  <si>
    <t>※EA1Gのみ使用</t>
    <rPh sb="7" eb="9">
      <t>シヨウ</t>
    </rPh>
    <phoneticPr fontId="3"/>
  </si>
  <si>
    <t>納品物件</t>
    <rPh sb="0" eb="2">
      <t>ノウヒン</t>
    </rPh>
    <rPh sb="2" eb="4">
      <t>ブッケン</t>
    </rPh>
    <phoneticPr fontId="3"/>
  </si>
  <si>
    <t>項目</t>
    <rPh sb="0" eb="2">
      <t>コウモク</t>
    </rPh>
    <phoneticPr fontId="3"/>
  </si>
  <si>
    <t>時間区分</t>
  </si>
  <si>
    <t>日報Excel用</t>
    <rPh sb="0" eb="2">
      <t>ニッポウ</t>
    </rPh>
    <rPh sb="7" eb="8">
      <t>ヨウ</t>
    </rPh>
    <phoneticPr fontId="3"/>
  </si>
  <si>
    <t>日報Excel(BP)用</t>
    <rPh sb="0" eb="2">
      <t>ニッポウ</t>
    </rPh>
    <rPh sb="11" eb="12">
      <t>ヨウ</t>
    </rPh>
    <phoneticPr fontId="3"/>
  </si>
  <si>
    <t>部署名</t>
    <rPh sb="0" eb="2">
      <t>ブショ</t>
    </rPh>
    <rPh sb="2" eb="3">
      <t>メイ</t>
    </rPh>
    <phoneticPr fontId="3"/>
  </si>
  <si>
    <t>元</t>
    <rPh sb="0" eb="1">
      <t>モト</t>
    </rPh>
    <phoneticPr fontId="3"/>
  </si>
  <si>
    <t>追加</t>
    <rPh sb="0" eb="2">
      <t>ツイカ</t>
    </rPh>
    <phoneticPr fontId="3"/>
  </si>
  <si>
    <t>遅刻・早退区分</t>
    <rPh sb="0" eb="2">
      <t>チコク</t>
    </rPh>
    <rPh sb="3" eb="5">
      <t>ソウタイ</t>
    </rPh>
    <rPh sb="5" eb="7">
      <t>クブン</t>
    </rPh>
    <phoneticPr fontId="3"/>
  </si>
  <si>
    <t>出退勤区分</t>
    <rPh sb="0" eb="1">
      <t>シュツ</t>
    </rPh>
    <rPh sb="1" eb="3">
      <t>タイキン</t>
    </rPh>
    <rPh sb="3" eb="5">
      <t>クブン</t>
    </rPh>
    <phoneticPr fontId="3"/>
  </si>
  <si>
    <t>A</t>
    <phoneticPr fontId="3"/>
  </si>
  <si>
    <t>要件定義</t>
    <rPh sb="0" eb="2">
      <t>ヨウケン</t>
    </rPh>
    <rPh sb="2" eb="4">
      <t>テイギ</t>
    </rPh>
    <phoneticPr fontId="26"/>
  </si>
  <si>
    <t>a</t>
    <phoneticPr fontId="3"/>
  </si>
  <si>
    <t>ドキュメント</t>
    <phoneticPr fontId="3"/>
  </si>
  <si>
    <t>EA1-1G</t>
  </si>
  <si>
    <t>EA事業部　システム一部　第一グループ</t>
    <rPh sb="2" eb="4">
      <t>ジギョウ</t>
    </rPh>
    <rPh sb="4" eb="5">
      <t>ブ</t>
    </rPh>
    <rPh sb="10" eb="11">
      <t>イチ</t>
    </rPh>
    <rPh sb="11" eb="12">
      <t>ブ</t>
    </rPh>
    <rPh sb="13" eb="14">
      <t>ダイ</t>
    </rPh>
    <rPh sb="14" eb="15">
      <t>イチ</t>
    </rPh>
    <phoneticPr fontId="3"/>
  </si>
  <si>
    <t>COBOL</t>
  </si>
  <si>
    <t>午前遅刻</t>
    <phoneticPr fontId="3"/>
  </si>
  <si>
    <t>B</t>
    <phoneticPr fontId="3"/>
  </si>
  <si>
    <t>外部設計</t>
  </si>
  <si>
    <t>b</t>
    <phoneticPr fontId="3"/>
  </si>
  <si>
    <t>打ち合わせ</t>
    <rPh sb="0" eb="1">
      <t>ウ</t>
    </rPh>
    <rPh sb="2" eb="3">
      <t>ア</t>
    </rPh>
    <phoneticPr fontId="3"/>
  </si>
  <si>
    <r>
      <t>1</t>
    </r>
    <r>
      <rPr>
        <sz val="11"/>
        <rFont val="ＭＳ Ｐゴシック"/>
        <family val="3"/>
        <charset val="128"/>
      </rPr>
      <t>.00割増</t>
    </r>
    <rPh sb="4" eb="6">
      <t>ワリマシ</t>
    </rPh>
    <phoneticPr fontId="28"/>
  </si>
  <si>
    <t>EA1-2G</t>
  </si>
  <si>
    <t>EA事業部　システム一部　第二グループ</t>
    <rPh sb="2" eb="4">
      <t>ジギョウ</t>
    </rPh>
    <rPh sb="4" eb="5">
      <t>ブ</t>
    </rPh>
    <rPh sb="10" eb="11">
      <t>イチ</t>
    </rPh>
    <rPh sb="11" eb="12">
      <t>ブ</t>
    </rPh>
    <rPh sb="13" eb="14">
      <t>ダイ</t>
    </rPh>
    <rPh sb="14" eb="15">
      <t>ニ</t>
    </rPh>
    <phoneticPr fontId="3"/>
  </si>
  <si>
    <t>委任</t>
    <rPh sb="0" eb="2">
      <t>イニン</t>
    </rPh>
    <phoneticPr fontId="3"/>
  </si>
  <si>
    <t>C,Pro*C</t>
  </si>
  <si>
    <t>午前早退</t>
  </si>
  <si>
    <t>C</t>
    <phoneticPr fontId="3"/>
  </si>
  <si>
    <t>内部設計</t>
  </si>
  <si>
    <t>c</t>
    <phoneticPr fontId="3"/>
  </si>
  <si>
    <t>レビュー・検収</t>
    <rPh sb="5" eb="7">
      <t>ケンシュウ</t>
    </rPh>
    <phoneticPr fontId="3"/>
  </si>
  <si>
    <t>1.25</t>
  </si>
  <si>
    <t>EA1-3G</t>
  </si>
  <si>
    <t>EA事業部　システム一部　第三グループ</t>
    <rPh sb="2" eb="4">
      <t>ジギョウ</t>
    </rPh>
    <rPh sb="4" eb="5">
      <t>ブ</t>
    </rPh>
    <rPh sb="10" eb="11">
      <t>イチ</t>
    </rPh>
    <rPh sb="11" eb="12">
      <t>ブ</t>
    </rPh>
    <rPh sb="13" eb="14">
      <t>ダイ</t>
    </rPh>
    <rPh sb="14" eb="15">
      <t>サン</t>
    </rPh>
    <phoneticPr fontId="3"/>
  </si>
  <si>
    <t>派遣</t>
    <rPh sb="0" eb="2">
      <t>ハケン</t>
    </rPh>
    <phoneticPr fontId="3"/>
  </si>
  <si>
    <t>JCL</t>
  </si>
  <si>
    <t>午前遅刻早退</t>
    <phoneticPr fontId="3"/>
  </si>
  <si>
    <t>D</t>
    <phoneticPr fontId="3"/>
  </si>
  <si>
    <t>開発・構築</t>
    <rPh sb="3" eb="5">
      <t>コウチク</t>
    </rPh>
    <phoneticPr fontId="26"/>
  </si>
  <si>
    <t>d</t>
    <phoneticPr fontId="3"/>
  </si>
  <si>
    <t>コーディング</t>
    <phoneticPr fontId="3"/>
  </si>
  <si>
    <t>EA1-4G</t>
  </si>
  <si>
    <t>EA事業部　システム一部　第四グループ</t>
    <rPh sb="2" eb="4">
      <t>ジギョウ</t>
    </rPh>
    <rPh sb="4" eb="5">
      <t>ブ</t>
    </rPh>
    <rPh sb="10" eb="11">
      <t>イチ</t>
    </rPh>
    <rPh sb="11" eb="12">
      <t>ブ</t>
    </rPh>
    <rPh sb="13" eb="14">
      <t>ダイ</t>
    </rPh>
    <rPh sb="14" eb="15">
      <t>ヨン</t>
    </rPh>
    <phoneticPr fontId="3"/>
  </si>
  <si>
    <t>ASP</t>
  </si>
  <si>
    <t>午前遅刻午後早退</t>
    <rPh sb="4" eb="6">
      <t>ゴゴ</t>
    </rPh>
    <phoneticPr fontId="3"/>
  </si>
  <si>
    <t>E</t>
    <phoneticPr fontId="3"/>
  </si>
  <si>
    <t>結合テスト</t>
  </si>
  <si>
    <t>e</t>
    <phoneticPr fontId="3"/>
  </si>
  <si>
    <t>ケース作成</t>
    <rPh sb="3" eb="5">
      <t>サクセイ</t>
    </rPh>
    <phoneticPr fontId="3"/>
  </si>
  <si>
    <t>0.25深夜</t>
  </si>
  <si>
    <t>0.25
深夜</t>
    <phoneticPr fontId="3"/>
  </si>
  <si>
    <t>EA2-1G</t>
  </si>
  <si>
    <t>EA事業部　システム二部　第一グループ</t>
    <rPh sb="2" eb="4">
      <t>ジギョウ</t>
    </rPh>
    <rPh sb="4" eb="5">
      <t>ブ</t>
    </rPh>
    <rPh sb="10" eb="11">
      <t>ニ</t>
    </rPh>
    <rPh sb="11" eb="12">
      <t>ブ</t>
    </rPh>
    <rPh sb="13" eb="14">
      <t>ダイ</t>
    </rPh>
    <rPh sb="14" eb="15">
      <t>イチ</t>
    </rPh>
    <phoneticPr fontId="3"/>
  </si>
  <si>
    <t>午後遅刻</t>
  </si>
  <si>
    <t>F</t>
    <phoneticPr fontId="3"/>
  </si>
  <si>
    <t>総合テスト</t>
  </si>
  <si>
    <t>f</t>
    <phoneticPr fontId="3"/>
  </si>
  <si>
    <t>テスト実施</t>
    <rPh sb="3" eb="5">
      <t>ジッシ</t>
    </rPh>
    <phoneticPr fontId="3"/>
  </si>
  <si>
    <t>0.25</t>
  </si>
  <si>
    <t>EA2-2G</t>
  </si>
  <si>
    <t>EA事業部　システム二部　第二グループ</t>
    <rPh sb="2" eb="4">
      <t>ジギョウ</t>
    </rPh>
    <rPh sb="4" eb="5">
      <t>ブ</t>
    </rPh>
    <rPh sb="11" eb="12">
      <t>ブ</t>
    </rPh>
    <rPh sb="13" eb="14">
      <t>ダイ</t>
    </rPh>
    <rPh sb="14" eb="15">
      <t>ニ</t>
    </rPh>
    <phoneticPr fontId="3"/>
  </si>
  <si>
    <t>Java</t>
  </si>
  <si>
    <t>午後早退</t>
  </si>
  <si>
    <t>G</t>
    <phoneticPr fontId="3"/>
  </si>
  <si>
    <t>運用設計</t>
    <rPh sb="0" eb="2">
      <t>ウンヨウ</t>
    </rPh>
    <rPh sb="2" eb="4">
      <t>セッケイ</t>
    </rPh>
    <phoneticPr fontId="26"/>
  </si>
  <si>
    <t>g</t>
    <phoneticPr fontId="3"/>
  </si>
  <si>
    <t>ﾘﾘｰｽ作業</t>
    <rPh sb="4" eb="6">
      <t>サギョウ</t>
    </rPh>
    <phoneticPr fontId="3"/>
  </si>
  <si>
    <t>0.35</t>
  </si>
  <si>
    <t>EA2-3G</t>
  </si>
  <si>
    <t>EA事業部　システム二部　第三グループ</t>
    <rPh sb="2" eb="4">
      <t>ジギョウ</t>
    </rPh>
    <rPh sb="4" eb="5">
      <t>ブ</t>
    </rPh>
    <rPh sb="11" eb="12">
      <t>ブ</t>
    </rPh>
    <rPh sb="13" eb="14">
      <t>ダイ</t>
    </rPh>
    <rPh sb="14" eb="15">
      <t>サン</t>
    </rPh>
    <phoneticPr fontId="3"/>
  </si>
  <si>
    <t>C#</t>
  </si>
  <si>
    <t>午後遅刻早退</t>
  </si>
  <si>
    <t>H</t>
    <phoneticPr fontId="3"/>
  </si>
  <si>
    <t>運用手順書作成</t>
    <rPh sb="0" eb="2">
      <t>ウンヨウ</t>
    </rPh>
    <rPh sb="2" eb="4">
      <t>テジュン</t>
    </rPh>
    <rPh sb="4" eb="5">
      <t>ショ</t>
    </rPh>
    <rPh sb="5" eb="7">
      <t>サクセイ</t>
    </rPh>
    <phoneticPr fontId="26"/>
  </si>
  <si>
    <t>h</t>
    <phoneticPr fontId="3"/>
  </si>
  <si>
    <t>社内業務</t>
    <rPh sb="0" eb="2">
      <t>シャナイ</t>
    </rPh>
    <rPh sb="2" eb="4">
      <t>ギョウム</t>
    </rPh>
    <phoneticPr fontId="3"/>
  </si>
  <si>
    <t>他時間外</t>
    <rPh sb="0" eb="1">
      <t>タ</t>
    </rPh>
    <rPh sb="1" eb="4">
      <t>ジカンガイ</t>
    </rPh>
    <phoneticPr fontId="28"/>
  </si>
  <si>
    <t>他時間外</t>
  </si>
  <si>
    <t>他
時間外</t>
    <phoneticPr fontId="3"/>
  </si>
  <si>
    <t>開発ｾﾝﾀｰ</t>
    <rPh sb="0" eb="2">
      <t>カイハツ</t>
    </rPh>
    <phoneticPr fontId="3"/>
  </si>
  <si>
    <t>アプリケーション事業部　開発センター</t>
    <rPh sb="8" eb="10">
      <t>ジギョウ</t>
    </rPh>
    <rPh sb="10" eb="11">
      <t>ブ</t>
    </rPh>
    <rPh sb="12" eb="14">
      <t>カイハツ</t>
    </rPh>
    <phoneticPr fontId="3"/>
  </si>
  <si>
    <t>その他言語</t>
  </si>
  <si>
    <t>I</t>
    <phoneticPr fontId="3"/>
  </si>
  <si>
    <t>運用・受入テスト</t>
    <rPh sb="0" eb="2">
      <t>ウンヨウ</t>
    </rPh>
    <rPh sb="3" eb="5">
      <t>ウケイレ</t>
    </rPh>
    <phoneticPr fontId="26"/>
  </si>
  <si>
    <t>i</t>
    <phoneticPr fontId="3"/>
  </si>
  <si>
    <t>管理</t>
    <rPh sb="0" eb="2">
      <t>カンリ</t>
    </rPh>
    <phoneticPr fontId="3"/>
  </si>
  <si>
    <t>特休</t>
    <rPh sb="0" eb="2">
      <t>トッキュウ</t>
    </rPh>
    <phoneticPr fontId="28"/>
  </si>
  <si>
    <t>特休</t>
    <rPh sb="0" eb="2">
      <t>トッキュウ</t>
    </rPh>
    <phoneticPr fontId="3"/>
  </si>
  <si>
    <t>ITプロ</t>
  </si>
  <si>
    <t>ITプロフェッショナル推進室</t>
  </si>
  <si>
    <t>ﾄﾞｷｭﾒﾝﾄ</t>
  </si>
  <si>
    <t>J</t>
    <phoneticPr fontId="3"/>
  </si>
  <si>
    <t>移行計画</t>
    <rPh sb="0" eb="2">
      <t>イコウ</t>
    </rPh>
    <rPh sb="2" eb="4">
      <t>ケイカク</t>
    </rPh>
    <phoneticPr fontId="26"/>
  </si>
  <si>
    <t>j</t>
    <phoneticPr fontId="3"/>
  </si>
  <si>
    <t>休暇</t>
    <rPh sb="0" eb="2">
      <t>キュウカ</t>
    </rPh>
    <phoneticPr fontId="3"/>
  </si>
  <si>
    <t>有休</t>
    <rPh sb="0" eb="2">
      <t>ユウキュウ</t>
    </rPh>
    <phoneticPr fontId="28"/>
  </si>
  <si>
    <t>有給
休暇</t>
    <phoneticPr fontId="3"/>
  </si>
  <si>
    <t>ｹｰｽ表/ﾃﾞｰﾀ表</t>
  </si>
  <si>
    <t>K</t>
    <phoneticPr fontId="3"/>
  </si>
  <si>
    <t>移行・テスト</t>
    <rPh sb="0" eb="2">
      <t>イコウ</t>
    </rPh>
    <phoneticPr fontId="26"/>
  </si>
  <si>
    <t>k</t>
    <phoneticPr fontId="3"/>
  </si>
  <si>
    <t>研修</t>
    <rPh sb="0" eb="2">
      <t>ケンシュウ</t>
    </rPh>
    <phoneticPr fontId="3"/>
  </si>
  <si>
    <t>無給休</t>
    <rPh sb="2" eb="3">
      <t>キュウ</t>
    </rPh>
    <phoneticPr fontId="28"/>
  </si>
  <si>
    <t>無給休</t>
    <rPh sb="0" eb="2">
      <t>ムキュウ</t>
    </rPh>
    <rPh sb="2" eb="3">
      <t>キュウ</t>
    </rPh>
    <phoneticPr fontId="3"/>
  </si>
  <si>
    <t>無給
休暇</t>
    <phoneticPr fontId="3"/>
  </si>
  <si>
    <t>その他</t>
  </si>
  <si>
    <t>L</t>
    <phoneticPr fontId="3"/>
  </si>
  <si>
    <t>管理</t>
    <rPh sb="0" eb="2">
      <t>カンリ</t>
    </rPh>
    <phoneticPr fontId="26"/>
  </si>
  <si>
    <t>l</t>
    <phoneticPr fontId="3"/>
  </si>
  <si>
    <t>教育・勉強会</t>
    <rPh sb="0" eb="2">
      <t>キョウイク</t>
    </rPh>
    <rPh sb="3" eb="5">
      <t>ベンキョウ</t>
    </rPh>
    <rPh sb="5" eb="6">
      <t>カイ</t>
    </rPh>
    <phoneticPr fontId="3"/>
  </si>
  <si>
    <t>無届休</t>
    <rPh sb="1" eb="2">
      <t>トド</t>
    </rPh>
    <rPh sb="2" eb="3">
      <t>キュウ</t>
    </rPh>
    <phoneticPr fontId="28"/>
  </si>
  <si>
    <t>M</t>
    <phoneticPr fontId="3"/>
  </si>
  <si>
    <t>その他（休暇・講習）</t>
    <rPh sb="2" eb="3">
      <t>タ</t>
    </rPh>
    <rPh sb="4" eb="6">
      <t>キュウカ</t>
    </rPh>
    <rPh sb="7" eb="9">
      <t>コウシュウ</t>
    </rPh>
    <phoneticPr fontId="3"/>
  </si>
  <si>
    <t>m</t>
    <phoneticPr fontId="3"/>
  </si>
  <si>
    <t>セキュリティ</t>
    <phoneticPr fontId="3"/>
  </si>
  <si>
    <t>振替
休日</t>
    <phoneticPr fontId="3"/>
  </si>
  <si>
    <t xml:space="preserve"> </t>
    <phoneticPr fontId="3"/>
  </si>
  <si>
    <t>n</t>
    <phoneticPr fontId="3"/>
  </si>
  <si>
    <t>エンハンス業革</t>
    <rPh sb="5" eb="6">
      <t>ギョウ</t>
    </rPh>
    <rPh sb="6" eb="7">
      <t>カク</t>
    </rPh>
    <phoneticPr fontId="3"/>
  </si>
  <si>
    <t>代休</t>
    <rPh sb="0" eb="2">
      <t>ダイキュウ</t>
    </rPh>
    <phoneticPr fontId="28"/>
  </si>
  <si>
    <t>o</t>
    <phoneticPr fontId="3"/>
  </si>
  <si>
    <t>深堀・是正</t>
    <rPh sb="0" eb="2">
      <t>フカボリ</t>
    </rPh>
    <rPh sb="3" eb="5">
      <t>ゼセイ</t>
    </rPh>
    <phoneticPr fontId="3"/>
  </si>
  <si>
    <t>振休取得</t>
    <rPh sb="0" eb="2">
      <t>フリキュウ</t>
    </rPh>
    <rPh sb="2" eb="4">
      <t>シュトク</t>
    </rPh>
    <phoneticPr fontId="28"/>
  </si>
  <si>
    <t>振休取得</t>
  </si>
  <si>
    <t>保存休</t>
    <rPh sb="0" eb="2">
      <t>ホゾン</t>
    </rPh>
    <rPh sb="2" eb="3">
      <t>キュウ</t>
    </rPh>
    <phoneticPr fontId="28"/>
  </si>
  <si>
    <t xml:space="preserve"> </t>
    <phoneticPr fontId="3"/>
  </si>
  <si>
    <t xml:space="preserve"> </t>
    <phoneticPr fontId="3"/>
  </si>
  <si>
    <t xml:space="preserve"> </t>
    <phoneticPr fontId="3"/>
  </si>
  <si>
    <t xml:space="preserve"> </t>
    <phoneticPr fontId="3"/>
  </si>
  <si>
    <t xml:space="preserve"> </t>
    <phoneticPr fontId="3"/>
  </si>
  <si>
    <t xml:space="preserve"> </t>
    <phoneticPr fontId="3"/>
  </si>
  <si>
    <t xml:space="preserve"> </t>
  </si>
  <si>
    <t>オーダー番号</t>
    <rPh sb="4" eb="6">
      <t>バンゴウ</t>
    </rPh>
    <phoneticPr fontId="3"/>
  </si>
  <si>
    <t>プロジェクト名</t>
    <rPh sb="6" eb="7">
      <t>メイ</t>
    </rPh>
    <phoneticPr fontId="3"/>
  </si>
  <si>
    <t>表示プロジェクト名</t>
    <rPh sb="0" eb="2">
      <t>ヒョウジ</t>
    </rPh>
    <rPh sb="8" eb="9">
      <t>メイ</t>
    </rPh>
    <phoneticPr fontId="3"/>
  </si>
  <si>
    <t>プロジェクトコード</t>
  </si>
  <si>
    <t>所属（日報Excel用名称）</t>
    <rPh sb="0" eb="2">
      <t>ショゾク</t>
    </rPh>
    <phoneticPr fontId="3"/>
  </si>
  <si>
    <t>工程コード</t>
    <rPh sb="0" eb="2">
      <t>コウテイ</t>
    </rPh>
    <phoneticPr fontId="3"/>
  </si>
  <si>
    <t>工程名</t>
    <rPh sb="0" eb="2">
      <t>コウテイ</t>
    </rPh>
    <rPh sb="2" eb="3">
      <t>メイ</t>
    </rPh>
    <phoneticPr fontId="3"/>
  </si>
  <si>
    <t>表示用</t>
    <rPh sb="0" eb="3">
      <t>ヒョウジヨウ</t>
    </rPh>
    <phoneticPr fontId="3"/>
  </si>
  <si>
    <t>ThemeCode</t>
  </si>
  <si>
    <t>ThemeName</t>
  </si>
  <si>
    <t>OrderNo</t>
  </si>
  <si>
    <t>表示名</t>
    <rPh sb="0" eb="2">
      <t>ヒョウジ</t>
    </rPh>
    <rPh sb="2" eb="3">
      <t>メイ</t>
    </rPh>
    <phoneticPr fontId="3"/>
  </si>
  <si>
    <t>作業コード</t>
    <rPh sb="0" eb="2">
      <t>サギョウ</t>
    </rPh>
    <phoneticPr fontId="3"/>
  </si>
  <si>
    <t>作業名</t>
    <rPh sb="0" eb="2">
      <t>サギョウ</t>
    </rPh>
    <rPh sb="2" eb="3">
      <t>メイ</t>
    </rPh>
    <phoneticPr fontId="3"/>
  </si>
  <si>
    <r>
      <rPr>
        <b/>
        <sz val="10"/>
        <color rgb="FFFF0000"/>
        <rFont val="ＭＳ ゴシック"/>
        <family val="3"/>
        <charset val="128"/>
      </rPr>
      <t>【社員のみ】</t>
    </r>
    <r>
      <rPr>
        <b/>
        <sz val="10"/>
        <rFont val="ＭＳ ゴシック"/>
        <family val="3"/>
        <charset val="128"/>
      </rPr>
      <t>法定外休日（祝日以外）</t>
    </r>
    <rPh sb="1" eb="3">
      <t>シャイン</t>
    </rPh>
    <rPh sb="6" eb="8">
      <t>ホウテイ</t>
    </rPh>
    <rPh sb="8" eb="9">
      <t>ガイ</t>
    </rPh>
    <rPh sb="9" eb="11">
      <t>キュウジツ</t>
    </rPh>
    <rPh sb="12" eb="14">
      <t>シュクジツ</t>
    </rPh>
    <rPh sb="14" eb="16">
      <t>イガイ</t>
    </rPh>
    <phoneticPr fontId="3"/>
  </si>
  <si>
    <t>祝日テーブル</t>
    <rPh sb="0" eb="2">
      <t>シュクジツ</t>
    </rPh>
    <phoneticPr fontId="3"/>
  </si>
  <si>
    <t>元日</t>
  </si>
  <si>
    <t>名称</t>
  </si>
  <si>
    <t xml:space="preserve">日付 </t>
  </si>
  <si>
    <t>Type</t>
    <phoneticPr fontId="32"/>
  </si>
  <si>
    <t>Type1</t>
  </si>
  <si>
    <t>日付の変わらない祝日</t>
    <rPh sb="0" eb="2">
      <t>ヒヅケ</t>
    </rPh>
    <rPh sb="3" eb="4">
      <t>カ</t>
    </rPh>
    <rPh sb="8" eb="10">
      <t>シュクジツ</t>
    </rPh>
    <phoneticPr fontId="32"/>
  </si>
  <si>
    <t>振替休日</t>
  </si>
  <si>
    <t>Type2</t>
  </si>
  <si>
    <t>曜日の変わらない祝日</t>
    <rPh sb="0" eb="2">
      <t>ヨウビ</t>
    </rPh>
    <rPh sb="3" eb="4">
      <t>カ</t>
    </rPh>
    <rPh sb="8" eb="10">
      <t>シュクジツ</t>
    </rPh>
    <phoneticPr fontId="32"/>
  </si>
  <si>
    <t>成人の日</t>
  </si>
  <si>
    <t xml:space="preserve">1月第2月曜日 </t>
  </si>
  <si>
    <t>Type3</t>
  </si>
  <si>
    <t>春分の日 =DATE($A$17,3,INT(20.8431+0.242194*($A$17-1980)-INT(($A$17-1980)/4)))</t>
  </si>
  <si>
    <t>建国記念の日</t>
  </si>
  <si>
    <t>Type4</t>
  </si>
  <si>
    <t>秋分の日 =DATE($A$17,9,INT(23.2488+0.242194*($A$17-1980)-INT(($A$17-1980)/4)))</t>
  </si>
  <si>
    <t>天皇誕生日</t>
  </si>
  <si>
    <t>12月23日(～2018年)/2月23日(2020年～)</t>
  </si>
  <si>
    <t>Type5</t>
  </si>
  <si>
    <t>1年限りの祝日(即位の日、即位礼正殿の儀など)</t>
    <rPh sb="1" eb="2">
      <t>ネン</t>
    </rPh>
    <rPh sb="2" eb="3">
      <t>カギ</t>
    </rPh>
    <rPh sb="5" eb="7">
      <t>シュクジツ</t>
    </rPh>
    <rPh sb="8" eb="10">
      <t>ソクイ</t>
    </rPh>
    <rPh sb="11" eb="12">
      <t>ヒ</t>
    </rPh>
    <rPh sb="13" eb="15">
      <t>ソクイ</t>
    </rPh>
    <rPh sb="15" eb="16">
      <t>レイ</t>
    </rPh>
    <rPh sb="16" eb="18">
      <t>セイデン</t>
    </rPh>
    <rPh sb="19" eb="20">
      <t>ギ</t>
    </rPh>
    <phoneticPr fontId="3"/>
  </si>
  <si>
    <t>春分の日</t>
  </si>
  <si>
    <t xml:space="preserve">3月21日頃 </t>
  </si>
  <si>
    <t>※数式は2099年まで有効</t>
    <rPh sb="1" eb="3">
      <t>スウシキ</t>
    </rPh>
    <rPh sb="8" eb="9">
      <t>ネン</t>
    </rPh>
    <rPh sb="11" eb="13">
      <t>ユウコウ</t>
    </rPh>
    <phoneticPr fontId="32"/>
  </si>
  <si>
    <t>昭和の日</t>
  </si>
  <si>
    <t>憲法記念日</t>
  </si>
  <si>
    <t>みどりの日</t>
  </si>
  <si>
    <t>こどもの日</t>
  </si>
  <si>
    <t>海の日</t>
  </si>
  <si>
    <t>7月第3月曜日 ※2020年のみ7月23日</t>
  </si>
  <si>
    <t>山の日</t>
  </si>
  <si>
    <t>8月11日 ※2020年のみ8月10日</t>
  </si>
  <si>
    <t>敬老の日</t>
  </si>
  <si>
    <t xml:space="preserve">9月第3月曜日 </t>
  </si>
  <si>
    <t>秋分の日</t>
  </si>
  <si>
    <t xml:space="preserve">9月23日頃 </t>
  </si>
  <si>
    <t>体育の日/スポーツの日</t>
  </si>
  <si>
    <t>10月第2月曜日 ※2020年のみ7月24日</t>
  </si>
  <si>
    <t>文化の日</t>
  </si>
  <si>
    <t>勤労感謝の日</t>
  </si>
  <si>
    <t>即位の日</t>
  </si>
  <si>
    <t>即位礼正殿の儀</t>
  </si>
  <si>
    <t>国民の休日</t>
  </si>
  <si>
    <t>※振替休日</t>
  </si>
  <si>
    <t xml:space="preserve">日曜日と祝日が重なったとき </t>
  </si>
  <si>
    <t>※国民の休日</t>
  </si>
  <si>
    <t xml:space="preserve">祝日と祝日に挟まれた平日 </t>
  </si>
  <si>
    <t>ステータス</t>
    <phoneticPr fontId="3"/>
  </si>
  <si>
    <t>メッセージ</t>
    <phoneticPr fontId="3"/>
  </si>
  <si>
    <t>作業報告書作成</t>
    <rPh sb="0" eb="2">
      <t>サギョウ</t>
    </rPh>
    <rPh sb="2" eb="4">
      <t>ホウコク</t>
    </rPh>
    <rPh sb="4" eb="5">
      <t>ショ</t>
    </rPh>
    <rPh sb="5" eb="7">
      <t>サクセイ</t>
    </rPh>
    <phoneticPr fontId="3"/>
  </si>
  <si>
    <t>作業報告書（委任）</t>
    <rPh sb="0" eb="2">
      <t>サギョウ</t>
    </rPh>
    <rPh sb="2" eb="4">
      <t>ホウコク</t>
    </rPh>
    <rPh sb="4" eb="5">
      <t>ショ</t>
    </rPh>
    <rPh sb="6" eb="8">
      <t>イニン</t>
    </rPh>
    <phoneticPr fontId="3"/>
  </si>
  <si>
    <t>テンプレート_パス_作業報告書_委任</t>
  </si>
  <si>
    <t>作業報告書（派遣）</t>
    <rPh sb="0" eb="2">
      <t>サギョウ</t>
    </rPh>
    <rPh sb="2" eb="4">
      <t>ホウコク</t>
    </rPh>
    <rPh sb="4" eb="5">
      <t>ショ</t>
    </rPh>
    <rPh sb="6" eb="8">
      <t>ハケン</t>
    </rPh>
    <phoneticPr fontId="3"/>
  </si>
  <si>
    <t>テンプレート_パス_作業報告書_派遣</t>
  </si>
  <si>
    <t>作業報告書　出力先</t>
    <rPh sb="0" eb="2">
      <t>サギョウ</t>
    </rPh>
    <rPh sb="2" eb="4">
      <t>ホウコク</t>
    </rPh>
    <rPh sb="4" eb="5">
      <t>ショ</t>
    </rPh>
    <rPh sb="6" eb="8">
      <t>シュツリョク</t>
    </rPh>
    <rPh sb="8" eb="9">
      <t>サキ</t>
    </rPh>
    <phoneticPr fontId="3"/>
  </si>
  <si>
    <t>出力ファイル_作業報告書</t>
  </si>
  <si>
    <t>CSV取込（ファイル指定）</t>
    <rPh sb="3" eb="5">
      <t>トリコミ</t>
    </rPh>
    <rPh sb="10" eb="12">
      <t>シテイ</t>
    </rPh>
    <phoneticPr fontId="3"/>
  </si>
  <si>
    <t>Csvファイル　入力元</t>
    <rPh sb="8" eb="10">
      <t>ニュウリョク</t>
    </rPh>
    <rPh sb="10" eb="11">
      <t>モト</t>
    </rPh>
    <phoneticPr fontId="3"/>
  </si>
  <si>
    <t>入力ファイル_CSV</t>
  </si>
  <si>
    <t>CSV出力</t>
    <rPh sb="3" eb="5">
      <t>シュツリョク</t>
    </rPh>
    <phoneticPr fontId="3"/>
  </si>
  <si>
    <t>Csvファイル　出力先</t>
    <rPh sb="8" eb="10">
      <t>シュツリョク</t>
    </rPh>
    <rPh sb="10" eb="11">
      <t>サキ</t>
    </rPh>
    <phoneticPr fontId="3"/>
  </si>
  <si>
    <t>出力ファイル_CSV</t>
  </si>
  <si>
    <t>テンプレート</t>
    <phoneticPr fontId="3"/>
  </si>
  <si>
    <t>日報Excel（社員）</t>
    <rPh sb="0" eb="2">
      <t>ニッポウ</t>
    </rPh>
    <rPh sb="8" eb="10">
      <t>シャイン</t>
    </rPh>
    <phoneticPr fontId="3"/>
  </si>
  <si>
    <t>テンプレート_パス_日報Excel_社員</t>
  </si>
  <si>
    <t>日報Excel（BP）</t>
    <rPh sb="0" eb="2">
      <t>ニッポウ</t>
    </rPh>
    <phoneticPr fontId="3"/>
  </si>
  <si>
    <t>テンプレート_パス_日報Excel_BP</t>
  </si>
  <si>
    <t>入力フォルダ(作業実績収集ツール)</t>
    <rPh sb="0" eb="2">
      <t>ニュウリョク</t>
    </rPh>
    <rPh sb="7" eb="9">
      <t>サギョウ</t>
    </rPh>
    <rPh sb="9" eb="11">
      <t>ジッセキ</t>
    </rPh>
    <rPh sb="11" eb="13">
      <t>シュウシュウ</t>
    </rPh>
    <phoneticPr fontId="3"/>
  </si>
  <si>
    <t>入力フォルダ_一括出力</t>
  </si>
  <si>
    <t>出力フォルダ(日報Excel)</t>
    <rPh sb="0" eb="2">
      <t>シュツリョク</t>
    </rPh>
    <rPh sb="7" eb="9">
      <t>ニッポウ</t>
    </rPh>
    <phoneticPr fontId="3"/>
  </si>
  <si>
    <t>出力フォルダ_一括出力</t>
  </si>
  <si>
    <t>出力フォルダ(CSV)</t>
    <rPh sb="0" eb="2">
      <t>シュツリョク</t>
    </rPh>
    <phoneticPr fontId="3"/>
  </si>
  <si>
    <t>出力フォルダ_一括出力Csv</t>
  </si>
  <si>
    <t>出力フラグ(MDB)</t>
    <rPh sb="0" eb="2">
      <t>シュツリョク</t>
    </rPh>
    <phoneticPr fontId="3"/>
  </si>
  <si>
    <t>出力フラグ_MDB</t>
  </si>
  <si>
    <t>出力フラグ(日報Excel)</t>
    <rPh sb="0" eb="2">
      <t>シュツリョク</t>
    </rPh>
    <rPh sb="6" eb="8">
      <t>ニッポウ</t>
    </rPh>
    <phoneticPr fontId="3"/>
  </si>
  <si>
    <t>出力フラグ_日報Excel</t>
  </si>
  <si>
    <t>出力フラグ(Csv)</t>
    <rPh sb="0" eb="2">
      <t>シュツリョク</t>
    </rPh>
    <phoneticPr fontId="3"/>
  </si>
  <si>
    <t>出力フラグ_Csv</t>
  </si>
  <si>
    <t>Csv取込</t>
    <rPh sb="3" eb="5">
      <t>トリコミ</t>
    </rPh>
    <phoneticPr fontId="3"/>
  </si>
  <si>
    <t>入力フォルダ(CSV)</t>
    <rPh sb="0" eb="2">
      <t>ニュウリョク</t>
    </rPh>
    <phoneticPr fontId="3"/>
  </si>
  <si>
    <t>入力フォルダ_Csv取込</t>
  </si>
  <si>
    <t>Csv取込_出力フォルダ_一括出力</t>
  </si>
  <si>
    <t>Csv取込_出力フラグ_MDB</t>
  </si>
  <si>
    <t>Csv取込_出力フラグ_Excel</t>
  </si>
  <si>
    <t>MDB</t>
  </si>
  <si>
    <t>ＭＤＢファイル名</t>
    <rPh sb="7" eb="8">
      <t>メイ</t>
    </rPh>
    <phoneticPr fontId="3"/>
  </si>
  <si>
    <t/>
  </si>
  <si>
    <t>MDB_パス</t>
  </si>
  <si>
    <t>データ収集シート　作成</t>
    <rPh sb="3" eb="5">
      <t>シュウシュウ</t>
    </rPh>
    <rPh sb="9" eb="11">
      <t>サクセイ</t>
    </rPh>
    <phoneticPr fontId="3"/>
  </si>
  <si>
    <t>データ収集シート（テンプレート）</t>
    <rPh sb="3" eb="5">
      <t>シュウシュウ</t>
    </rPh>
    <phoneticPr fontId="3"/>
  </si>
  <si>
    <t>テンプレート_パス_データ収集シート</t>
  </si>
  <si>
    <t>検索条件（オーダー番号）</t>
    <rPh sb="0" eb="2">
      <t>ケンサク</t>
    </rPh>
    <rPh sb="2" eb="4">
      <t>ジョウケン</t>
    </rPh>
    <rPh sb="9" eb="11">
      <t>バンゴウ</t>
    </rPh>
    <phoneticPr fontId="3"/>
  </si>
  <si>
    <t>検索条件_オーダー番号</t>
  </si>
  <si>
    <t>検索条件（プロジェクトコード）</t>
    <rPh sb="0" eb="2">
      <t>ケンサク</t>
    </rPh>
    <rPh sb="2" eb="4">
      <t>ジョウケン</t>
    </rPh>
    <phoneticPr fontId="3"/>
  </si>
  <si>
    <t>検索条件_プロジェクトコード</t>
  </si>
  <si>
    <t>データ収集シート（出力先）</t>
    <rPh sb="3" eb="5">
      <t>シュウシュウ</t>
    </rPh>
    <rPh sb="9" eb="11">
      <t>シュツリョク</t>
    </rPh>
    <rPh sb="11" eb="12">
      <t>サキ</t>
    </rPh>
    <phoneticPr fontId="3"/>
  </si>
  <si>
    <t>出力ファイル_データ収集シート</t>
  </si>
  <si>
    <t>初期化フラグ</t>
    <rPh sb="0" eb="2">
      <t>ショキ</t>
    </rPh>
    <rPh sb="2" eb="3">
      <t>カ</t>
    </rPh>
    <phoneticPr fontId="3"/>
  </si>
  <si>
    <t>初期化フラグ</t>
  </si>
  <si>
    <t>ユーザ区分</t>
    <rPh sb="3" eb="5">
      <t>クブン</t>
    </rPh>
    <phoneticPr fontId="3"/>
  </si>
  <si>
    <t>ユーザ区分</t>
  </si>
  <si>
    <t>バージョン</t>
    <phoneticPr fontId="3"/>
  </si>
  <si>
    <t>ver.1.56</t>
    <phoneticPr fontId="3"/>
  </si>
  <si>
    <t>リビジョン</t>
    <phoneticPr fontId="3"/>
  </si>
  <si>
    <t>02</t>
    <phoneticPr fontId="3"/>
  </si>
  <si>
    <t>分</t>
    <rPh sb="0" eb="1">
      <t>フン</t>
    </rPh>
    <phoneticPr fontId="3"/>
  </si>
  <si>
    <t>時間</t>
    <rPh sb="0" eb="2">
      <t>ジカン</t>
    </rPh>
    <phoneticPr fontId="3"/>
  </si>
  <si>
    <t>0.00</t>
    <phoneticPr fontId="6"/>
  </si>
  <si>
    <t>0.02</t>
  </si>
  <si>
    <t>0.04</t>
  </si>
  <si>
    <t>0.05</t>
  </si>
  <si>
    <t>0.07</t>
  </si>
  <si>
    <t>0.09</t>
  </si>
  <si>
    <t>0.10</t>
  </si>
  <si>
    <t>0.12</t>
  </si>
  <si>
    <t>0.14</t>
  </si>
  <si>
    <t>0.15</t>
  </si>
  <si>
    <t>0.17</t>
  </si>
  <si>
    <t>0.19</t>
  </si>
  <si>
    <t>0.20</t>
  </si>
  <si>
    <t>0.22</t>
  </si>
  <si>
    <t>0.24</t>
  </si>
  <si>
    <t>0.27</t>
  </si>
  <si>
    <t>0.29</t>
  </si>
  <si>
    <t>0.30</t>
  </si>
  <si>
    <t>0.32</t>
  </si>
  <si>
    <t>0.34</t>
  </si>
  <si>
    <t>0.37</t>
  </si>
  <si>
    <t>0.39</t>
  </si>
  <si>
    <t>0.40</t>
  </si>
  <si>
    <t>0.42</t>
  </si>
  <si>
    <t>0.44</t>
  </si>
  <si>
    <t>0.45</t>
  </si>
  <si>
    <t>0.47</t>
  </si>
  <si>
    <t>0.49</t>
  </si>
  <si>
    <t>0.50</t>
  </si>
  <si>
    <t>0.52</t>
  </si>
  <si>
    <t>0.54</t>
  </si>
  <si>
    <t>0.55</t>
  </si>
  <si>
    <t>0.57</t>
  </si>
  <si>
    <t>0.59</t>
  </si>
  <si>
    <t>0.60</t>
  </si>
  <si>
    <t>0.62</t>
  </si>
  <si>
    <t>0.64</t>
  </si>
  <si>
    <t>0.65</t>
  </si>
  <si>
    <t>0.67</t>
  </si>
  <si>
    <t>0.69</t>
  </si>
  <si>
    <t>0.70</t>
  </si>
  <si>
    <t>0.72</t>
  </si>
  <si>
    <t>0.74</t>
  </si>
  <si>
    <t>0.75</t>
  </si>
  <si>
    <t>0.77</t>
  </si>
  <si>
    <t>0.79</t>
  </si>
  <si>
    <t>0.80</t>
  </si>
  <si>
    <t>0.82</t>
  </si>
  <si>
    <t>0.84</t>
  </si>
  <si>
    <t>0.85</t>
  </si>
  <si>
    <t>0.87</t>
  </si>
  <si>
    <t>0.89</t>
  </si>
  <si>
    <t>0.90</t>
  </si>
  <si>
    <t>0.92</t>
  </si>
  <si>
    <t>0.94</t>
  </si>
  <si>
    <t>0.95</t>
  </si>
  <si>
    <t>0.97</t>
  </si>
  <si>
    <t>0.99</t>
  </si>
  <si>
    <t>1.00</t>
    <phoneticPr fontId="6"/>
  </si>
  <si>
    <t>ver.</t>
    <phoneticPr fontId="3"/>
  </si>
  <si>
    <t>日付</t>
    <rPh sb="0" eb="2">
      <t>ヒヅケ</t>
    </rPh>
    <phoneticPr fontId="3"/>
  </si>
  <si>
    <t>修正内容</t>
    <rPh sb="0" eb="2">
      <t>シュウセイ</t>
    </rPh>
    <rPh sb="2" eb="4">
      <t>ナイヨウ</t>
    </rPh>
    <phoneticPr fontId="3"/>
  </si>
  <si>
    <t>1.00</t>
    <phoneticPr fontId="3"/>
  </si>
  <si>
    <t>初版作成</t>
    <rPh sb="0" eb="2">
      <t>ショハン</t>
    </rPh>
    <rPh sb="2" eb="4">
      <t>サクセイ</t>
    </rPh>
    <phoneticPr fontId="3"/>
  </si>
  <si>
    <t>1.01</t>
    <phoneticPr fontId="3"/>
  </si>
  <si>
    <t xml:space="preserve">機能追加
　・閉じるときに強制チェック、開くときに前回閉じたときのエラーを表示する。
</t>
    <rPh sb="0" eb="2">
      <t>キノウ</t>
    </rPh>
    <rPh sb="2" eb="4">
      <t>ツイカ</t>
    </rPh>
    <rPh sb="7" eb="8">
      <t>ト</t>
    </rPh>
    <rPh sb="13" eb="15">
      <t>キョウセイ</t>
    </rPh>
    <rPh sb="20" eb="21">
      <t>ヒラ</t>
    </rPh>
    <rPh sb="25" eb="27">
      <t>ゼンカイ</t>
    </rPh>
    <rPh sb="27" eb="28">
      <t>ト</t>
    </rPh>
    <rPh sb="37" eb="39">
      <t>ヒョウジ</t>
    </rPh>
    <phoneticPr fontId="3"/>
  </si>
  <si>
    <t>1.10</t>
    <phoneticPr fontId="3"/>
  </si>
  <si>
    <t xml:space="preserve">機能追加
　・ユーザ区分によって、表示するシート・初期値を制御できるようにする。
　・データ収集シート作成機能を追加
</t>
    <rPh sb="0" eb="2">
      <t>キノウ</t>
    </rPh>
    <rPh sb="2" eb="4">
      <t>ツイカ</t>
    </rPh>
    <rPh sb="10" eb="12">
      <t>クブン</t>
    </rPh>
    <rPh sb="17" eb="19">
      <t>ヒョウジ</t>
    </rPh>
    <rPh sb="25" eb="28">
      <t>ショキチ</t>
    </rPh>
    <rPh sb="29" eb="31">
      <t>セイギョ</t>
    </rPh>
    <phoneticPr fontId="3"/>
  </si>
  <si>
    <t>1.11</t>
    <phoneticPr fontId="3"/>
  </si>
  <si>
    <t>・終了時刻が29時以降の場合の、深夜時間の計算を修正。
・深夜時間のプロジェクトコードが空白になってしまう不具合を修正。
・夏季休暇・無給休などの日報Excelに明細を記載しない休日に対応。
・時間区分の無給休を普通欠に変更し、普通欠の場合は、日報Excelには転記しない仕様に変更。
・作業日報シートの保護仕様を変更。（列の書式をロックしないように変更）
・協力会社メンバーは、0.25深夜を考慮しないように変更。
・手当欄のチェックを実装</t>
    <rPh sb="1" eb="3">
      <t>シュウリョウ</t>
    </rPh>
    <rPh sb="3" eb="5">
      <t>ジコク</t>
    </rPh>
    <rPh sb="8" eb="9">
      <t>ジ</t>
    </rPh>
    <rPh sb="9" eb="11">
      <t>イコウ</t>
    </rPh>
    <rPh sb="12" eb="14">
      <t>バアイ</t>
    </rPh>
    <rPh sb="16" eb="18">
      <t>シンヤ</t>
    </rPh>
    <rPh sb="18" eb="20">
      <t>ジカン</t>
    </rPh>
    <rPh sb="21" eb="23">
      <t>ケイサン</t>
    </rPh>
    <rPh sb="24" eb="26">
      <t>シュウセイ</t>
    </rPh>
    <rPh sb="29" eb="31">
      <t>シンヤ</t>
    </rPh>
    <rPh sb="31" eb="33">
      <t>ジカン</t>
    </rPh>
    <rPh sb="44" eb="46">
      <t>クウハク</t>
    </rPh>
    <rPh sb="53" eb="56">
      <t>フグアイ</t>
    </rPh>
    <rPh sb="57" eb="59">
      <t>シュウセイ</t>
    </rPh>
    <rPh sb="62" eb="64">
      <t>カキ</t>
    </rPh>
    <rPh sb="64" eb="66">
      <t>キュウカ</t>
    </rPh>
    <rPh sb="67" eb="69">
      <t>ムキュウ</t>
    </rPh>
    <rPh sb="69" eb="70">
      <t>キュウ</t>
    </rPh>
    <rPh sb="73" eb="75">
      <t>ニッポウ</t>
    </rPh>
    <rPh sb="81" eb="83">
      <t>メイサイ</t>
    </rPh>
    <rPh sb="84" eb="86">
      <t>キサイ</t>
    </rPh>
    <rPh sb="89" eb="91">
      <t>キュウジツ</t>
    </rPh>
    <rPh sb="92" eb="94">
      <t>タイオウ</t>
    </rPh>
    <rPh sb="97" eb="99">
      <t>ジカン</t>
    </rPh>
    <rPh sb="99" eb="101">
      <t>クブン</t>
    </rPh>
    <rPh sb="102" eb="104">
      <t>ムキュウ</t>
    </rPh>
    <rPh sb="104" eb="105">
      <t>キュウ</t>
    </rPh>
    <rPh sb="106" eb="108">
      <t>フツウ</t>
    </rPh>
    <rPh sb="108" eb="109">
      <t>ケツ</t>
    </rPh>
    <rPh sb="110" eb="112">
      <t>ヘンコウ</t>
    </rPh>
    <rPh sb="114" eb="116">
      <t>フツウ</t>
    </rPh>
    <rPh sb="116" eb="117">
      <t>ケツ</t>
    </rPh>
    <rPh sb="118" eb="120">
      <t>バアイ</t>
    </rPh>
    <rPh sb="122" eb="124">
      <t>ニッポウ</t>
    </rPh>
    <rPh sb="131" eb="133">
      <t>テンキ</t>
    </rPh>
    <rPh sb="136" eb="138">
      <t>シヨウ</t>
    </rPh>
    <rPh sb="139" eb="141">
      <t>ヘンコウ</t>
    </rPh>
    <rPh sb="144" eb="146">
      <t>サギョウ</t>
    </rPh>
    <rPh sb="146" eb="148">
      <t>ニッポウ</t>
    </rPh>
    <rPh sb="152" eb="154">
      <t>ホゴ</t>
    </rPh>
    <rPh sb="154" eb="156">
      <t>シヨウ</t>
    </rPh>
    <rPh sb="157" eb="159">
      <t>ヘンコウ</t>
    </rPh>
    <rPh sb="161" eb="162">
      <t>レツ</t>
    </rPh>
    <rPh sb="163" eb="165">
      <t>ショシキ</t>
    </rPh>
    <rPh sb="175" eb="177">
      <t>ヘンコウ</t>
    </rPh>
    <rPh sb="180" eb="182">
      <t>キョウリョク</t>
    </rPh>
    <rPh sb="182" eb="184">
      <t>ガイシャ</t>
    </rPh>
    <rPh sb="194" eb="196">
      <t>シンヤ</t>
    </rPh>
    <rPh sb="197" eb="199">
      <t>コウリョ</t>
    </rPh>
    <rPh sb="205" eb="207">
      <t>ヘンコウ</t>
    </rPh>
    <rPh sb="210" eb="212">
      <t>テアテ</t>
    </rPh>
    <rPh sb="212" eb="213">
      <t>ラン</t>
    </rPh>
    <rPh sb="219" eb="221">
      <t>ジッソウ</t>
    </rPh>
    <phoneticPr fontId="3"/>
  </si>
  <si>
    <t>1.20</t>
    <phoneticPr fontId="3"/>
  </si>
  <si>
    <t>①Excel2002に対応　
　・作業コードマスタに埋め込んであったクエリを削除。
　・「コード」シートに埋め込まれていたクエリを削除。
　・「作業日報」のテーマ更新ボタン・チェックボックスを削除
　・VBAの参照設定から「Ref Edit Control」を外す。
　・ファイルOpen時に、「作業日報」シートの保護設定を追加。
　・ファイルフォーマットチェックの追加
　・振替予定日チェックの見直し</t>
    <rPh sb="11" eb="13">
      <t>タイオウ</t>
    </rPh>
    <rPh sb="105" eb="107">
      <t>サンショウ</t>
    </rPh>
    <rPh sb="107" eb="109">
      <t>セッテイ</t>
    </rPh>
    <rPh sb="130" eb="131">
      <t>ハズ</t>
    </rPh>
    <rPh sb="188" eb="190">
      <t>フリカエ</t>
    </rPh>
    <rPh sb="190" eb="193">
      <t>ヨテイビ</t>
    </rPh>
    <rPh sb="198" eb="200">
      <t>ミナオ</t>
    </rPh>
    <phoneticPr fontId="3"/>
  </si>
  <si>
    <t xml:space="preserve">②一括出力でver.1.10の作業実績が取り込めない不具合を修正。
③日報Excel作成処理の不具合修正＆リファクタリング
</t>
    <phoneticPr fontId="3"/>
  </si>
  <si>
    <t>1.21</t>
    <phoneticPr fontId="3"/>
  </si>
  <si>
    <t>①Excel2007対応
　・FileSearch非対応に対応。
②社員IDの先頭文字「z」に対応。
③一括出力時の入力チェックの見直し。
④保存形式を「xlWorkbookNormal」に変更し、初回起動時の強制保存MSGを廃止。</t>
    <rPh sb="10" eb="12">
      <t>タイオウ</t>
    </rPh>
    <rPh sb="25" eb="26">
      <t>ヒ</t>
    </rPh>
    <rPh sb="26" eb="28">
      <t>タイオウ</t>
    </rPh>
    <rPh sb="29" eb="31">
      <t>タイオウ</t>
    </rPh>
    <rPh sb="34" eb="36">
      <t>シャイン</t>
    </rPh>
    <rPh sb="39" eb="41">
      <t>セントウ</t>
    </rPh>
    <rPh sb="41" eb="43">
      <t>モジ</t>
    </rPh>
    <rPh sb="47" eb="49">
      <t>タイオウ</t>
    </rPh>
    <rPh sb="52" eb="54">
      <t>イッカツ</t>
    </rPh>
    <rPh sb="54" eb="56">
      <t>シュツリョク</t>
    </rPh>
    <rPh sb="56" eb="57">
      <t>ジ</t>
    </rPh>
    <rPh sb="58" eb="60">
      <t>ニュウリョク</t>
    </rPh>
    <rPh sb="65" eb="67">
      <t>ミナオ</t>
    </rPh>
    <rPh sb="71" eb="73">
      <t>ホゾン</t>
    </rPh>
    <rPh sb="73" eb="75">
      <t>ケイシキ</t>
    </rPh>
    <rPh sb="95" eb="97">
      <t>ヘンコウ</t>
    </rPh>
    <rPh sb="99" eb="101">
      <t>ショカイ</t>
    </rPh>
    <rPh sb="101" eb="103">
      <t>キドウ</t>
    </rPh>
    <rPh sb="103" eb="104">
      <t>ジ</t>
    </rPh>
    <rPh sb="105" eb="107">
      <t>キョウセイ</t>
    </rPh>
    <rPh sb="107" eb="109">
      <t>ホゾン</t>
    </rPh>
    <rPh sb="113" eb="115">
      <t>ハイシ</t>
    </rPh>
    <phoneticPr fontId="3"/>
  </si>
  <si>
    <t>1.22</t>
    <phoneticPr fontId="3"/>
  </si>
  <si>
    <t>①社員区分追加対応
　・作業日報ヘッダ部に社員区分を追加。
　・社員/協力会社の区別を、従来の社員IDの先頭１桁で判定する方法から、社員区分で判定するように変更。
②不具合対応
　・協力会社メンバーの場合は、時間区分「定時間」が7.75H以上も許容するように修正。
③その他
　・データ収集フォームの入力チェック見直し。
　・協力会社のメンバーが資格を主事補以上でエラー。
　・振休チェック修正
　・プルダウン存在チェックを追加</t>
    <rPh sb="1" eb="3">
      <t>シャイン</t>
    </rPh>
    <rPh sb="3" eb="5">
      <t>クブン</t>
    </rPh>
    <rPh sb="5" eb="7">
      <t>ツイカ</t>
    </rPh>
    <rPh sb="7" eb="9">
      <t>タイオウ</t>
    </rPh>
    <rPh sb="12" eb="14">
      <t>サギョウ</t>
    </rPh>
    <rPh sb="14" eb="16">
      <t>ニッポウ</t>
    </rPh>
    <rPh sb="19" eb="20">
      <t>ブ</t>
    </rPh>
    <rPh sb="21" eb="23">
      <t>シャイン</t>
    </rPh>
    <rPh sb="23" eb="25">
      <t>クブン</t>
    </rPh>
    <rPh sb="26" eb="28">
      <t>ツイカ</t>
    </rPh>
    <rPh sb="32" eb="34">
      <t>シャイン</t>
    </rPh>
    <rPh sb="35" eb="37">
      <t>キョウリョク</t>
    </rPh>
    <rPh sb="37" eb="39">
      <t>ガイシャ</t>
    </rPh>
    <rPh sb="40" eb="42">
      <t>クベツ</t>
    </rPh>
    <rPh sb="44" eb="46">
      <t>ジュウライ</t>
    </rPh>
    <rPh sb="47" eb="49">
      <t>シャイン</t>
    </rPh>
    <rPh sb="52" eb="54">
      <t>セントウ</t>
    </rPh>
    <rPh sb="55" eb="56">
      <t>ケタ</t>
    </rPh>
    <rPh sb="57" eb="59">
      <t>ハンテイ</t>
    </rPh>
    <rPh sb="61" eb="63">
      <t>ホウホウ</t>
    </rPh>
    <rPh sb="66" eb="68">
      <t>シャイン</t>
    </rPh>
    <rPh sb="68" eb="70">
      <t>クブン</t>
    </rPh>
    <rPh sb="71" eb="73">
      <t>ハンテイ</t>
    </rPh>
    <rPh sb="78" eb="80">
      <t>ヘンコウ</t>
    </rPh>
    <rPh sb="84" eb="87">
      <t>フグアイ</t>
    </rPh>
    <rPh sb="87" eb="89">
      <t>タイオウ</t>
    </rPh>
    <rPh sb="105" eb="107">
      <t>ジカン</t>
    </rPh>
    <rPh sb="107" eb="109">
      <t>クブン</t>
    </rPh>
    <rPh sb="110" eb="112">
      <t>テイジ</t>
    </rPh>
    <rPh sb="112" eb="113">
      <t>カン</t>
    </rPh>
    <rPh sb="120" eb="122">
      <t>イジョウ</t>
    </rPh>
    <rPh sb="130" eb="132">
      <t>シュウセイ</t>
    </rPh>
    <rPh sb="138" eb="139">
      <t>タ</t>
    </rPh>
    <rPh sb="145" eb="147">
      <t>シュウシュウ</t>
    </rPh>
    <rPh sb="152" eb="154">
      <t>ニュウリョク</t>
    </rPh>
    <rPh sb="158" eb="160">
      <t>ミナオ</t>
    </rPh>
    <rPh sb="165" eb="167">
      <t>キョウリョク</t>
    </rPh>
    <rPh sb="167" eb="169">
      <t>ガイシャ</t>
    </rPh>
    <rPh sb="175" eb="177">
      <t>シカク</t>
    </rPh>
    <rPh sb="178" eb="180">
      <t>シュジ</t>
    </rPh>
    <rPh sb="180" eb="181">
      <t>ホ</t>
    </rPh>
    <rPh sb="181" eb="183">
      <t>イジョウ</t>
    </rPh>
    <rPh sb="191" eb="192">
      <t>フ</t>
    </rPh>
    <rPh sb="192" eb="193">
      <t>キュウ</t>
    </rPh>
    <rPh sb="197" eb="199">
      <t>シュウセイ</t>
    </rPh>
    <rPh sb="207" eb="209">
      <t>ソンザイ</t>
    </rPh>
    <rPh sb="214" eb="216">
      <t>ツイカ</t>
    </rPh>
    <phoneticPr fontId="3"/>
  </si>
  <si>
    <t>1.23</t>
    <phoneticPr fontId="3"/>
  </si>
  <si>
    <t xml:space="preserve">①一括出力不具合修正
　・プロジェクト、工程、テーマ、作業、工程・作業対応の各マスタも取り込むように修正。
　・各マスタの名称定義の範囲も取り込むように修正。
</t>
    <rPh sb="1" eb="3">
      <t>イッカツ</t>
    </rPh>
    <rPh sb="3" eb="5">
      <t>シュツリョク</t>
    </rPh>
    <rPh sb="5" eb="8">
      <t>フグアイ</t>
    </rPh>
    <rPh sb="8" eb="10">
      <t>シュウセイ</t>
    </rPh>
    <rPh sb="20" eb="22">
      <t>コウテイ</t>
    </rPh>
    <rPh sb="27" eb="29">
      <t>サギョウ</t>
    </rPh>
    <rPh sb="30" eb="32">
      <t>コウテイ</t>
    </rPh>
    <rPh sb="33" eb="35">
      <t>サギョウ</t>
    </rPh>
    <rPh sb="35" eb="37">
      <t>タイオウ</t>
    </rPh>
    <rPh sb="38" eb="39">
      <t>カク</t>
    </rPh>
    <rPh sb="43" eb="44">
      <t>ト</t>
    </rPh>
    <rPh sb="45" eb="46">
      <t>コ</t>
    </rPh>
    <rPh sb="50" eb="52">
      <t>シュウセイ</t>
    </rPh>
    <rPh sb="56" eb="57">
      <t>カク</t>
    </rPh>
    <rPh sb="61" eb="63">
      <t>メイショウ</t>
    </rPh>
    <rPh sb="63" eb="65">
      <t>テイギ</t>
    </rPh>
    <rPh sb="66" eb="68">
      <t>ハンイ</t>
    </rPh>
    <rPh sb="69" eb="70">
      <t>ト</t>
    </rPh>
    <rPh sb="71" eb="72">
      <t>コ</t>
    </rPh>
    <rPh sb="76" eb="78">
      <t>シュウセイ</t>
    </rPh>
    <phoneticPr fontId="3"/>
  </si>
  <si>
    <t>1.30</t>
    <phoneticPr fontId="3"/>
  </si>
  <si>
    <t xml:space="preserve">①1.35割当不具合修正　→修正箇所：M25#CalcKyujitsu(2012/3/29)
②エラーメッセージが0件なのにエラーとなった場合の処理を追加。　→M41#WriteResult(2012/3/29)
</t>
    <rPh sb="5" eb="7">
      <t>ワリアテ</t>
    </rPh>
    <rPh sb="7" eb="10">
      <t>フグアイ</t>
    </rPh>
    <rPh sb="10" eb="12">
      <t>シュウセイ</t>
    </rPh>
    <rPh sb="14" eb="16">
      <t>シュウセイ</t>
    </rPh>
    <rPh sb="16" eb="18">
      <t>カショ</t>
    </rPh>
    <rPh sb="59" eb="60">
      <t>ケン</t>
    </rPh>
    <rPh sb="70" eb="72">
      <t>バアイ</t>
    </rPh>
    <rPh sb="73" eb="75">
      <t>ショリ</t>
    </rPh>
    <rPh sb="76" eb="78">
      <t>ツイカ</t>
    </rPh>
    <phoneticPr fontId="3"/>
  </si>
  <si>
    <t xml:space="preserve">③CSV対応(2012/6/12)
　・作業日報シートに、「CSV出力」ボタンを作成
　・「一括出力(CSV)」シートを追加（リーダー用、業務管理用で使用可能）
　・「CSV取込」シートを追加（リーダー用、業務管理用で使用可能）
　・「作業日報」シートに、「CSV取込」ボタンを作成（業務管理用のみ使用可能）
　・「一括出力」シートを削除。
　・シート表示設定を修正。
④普通欠の場合でも、日報Excelに開始・終了時刻が入力されてしまう不具合を修正。
</t>
    <rPh sb="67" eb="68">
      <t>ヨウ</t>
    </rPh>
    <rPh sb="69" eb="71">
      <t>ギョウム</t>
    </rPh>
    <rPh sb="71" eb="74">
      <t>カンリヨウ</t>
    </rPh>
    <rPh sb="75" eb="77">
      <t>シヨウ</t>
    </rPh>
    <rPh sb="77" eb="79">
      <t>カノウ</t>
    </rPh>
    <rPh sb="142" eb="144">
      <t>ギョウム</t>
    </rPh>
    <rPh sb="144" eb="147">
      <t>カンリヨウ</t>
    </rPh>
    <rPh sb="149" eb="151">
      <t>シヨウ</t>
    </rPh>
    <rPh sb="151" eb="153">
      <t>カノウ</t>
    </rPh>
    <phoneticPr fontId="3"/>
  </si>
  <si>
    <t>1.31</t>
    <phoneticPr fontId="3"/>
  </si>
  <si>
    <t>・作業日報の「CSV出力」ボタンの制御を変更（業務管理用のみ使用可能）
・作業日報明細部のプロジェクトコードを手入力可能に変更
・作業日報ヘッダ部の所属を直接入力可能に変更し、プロジェクトマスタ存在チェックは廃止
・日報Excelのヘッダ部の所属に作業日報「ユーザ_プロジェクト名_TC」の値を設定するように修正
・CSV取込時にファイルの存在チェックを追加。</t>
    <rPh sb="1" eb="3">
      <t>サギョウ</t>
    </rPh>
    <rPh sb="3" eb="5">
      <t>ニッポウ</t>
    </rPh>
    <rPh sb="65" eb="67">
      <t>サギョウ</t>
    </rPh>
    <rPh sb="67" eb="69">
      <t>ニッポウ</t>
    </rPh>
    <rPh sb="84" eb="86">
      <t>ヘンコウ</t>
    </rPh>
    <rPh sb="124" eb="126">
      <t>サギョウ</t>
    </rPh>
    <rPh sb="126" eb="128">
      <t>ニッポウ</t>
    </rPh>
    <rPh sb="177" eb="179">
      <t>ツイカ</t>
    </rPh>
    <phoneticPr fontId="3"/>
  </si>
  <si>
    <t>1.31.1</t>
    <phoneticPr fontId="3"/>
  </si>
  <si>
    <r>
      <t>・閉じるボタン不具合修正
・休憩時間を整数型からDouble型に変更
・作業日報の開始終了時刻のセル書式を変更（</t>
    </r>
    <r>
      <rPr>
        <sz val="11"/>
        <rFont val="ＭＳ Ｐゴシック"/>
        <family val="3"/>
        <charset val="128"/>
      </rPr>
      <t>0:00</t>
    </r>
    <r>
      <rPr>
        <sz val="11"/>
        <rFont val="ＭＳ Ｐゴシック"/>
        <family val="3"/>
        <charset val="128"/>
      </rPr>
      <t>表示対応）
・参考時間（</t>
    </r>
    <r>
      <rPr>
        <sz val="11"/>
        <rFont val="ＭＳ Ｐゴシック"/>
        <family val="3"/>
        <charset val="128"/>
      </rPr>
      <t>K,L,N,O</t>
    </r>
    <r>
      <rPr>
        <sz val="11"/>
        <rFont val="ＭＳ Ｐゴシック"/>
        <family val="3"/>
        <charset val="128"/>
      </rPr>
      <t xml:space="preserve">列）の列の計算式を修正。
</t>
    </r>
    <rPh sb="19" eb="21">
      <t>セイスウ</t>
    </rPh>
    <rPh sb="36" eb="38">
      <t>サギョウ</t>
    </rPh>
    <rPh sb="38" eb="40">
      <t>ニッポウ</t>
    </rPh>
    <phoneticPr fontId="3"/>
  </si>
  <si>
    <t>1.40</t>
    <phoneticPr fontId="3"/>
  </si>
  <si>
    <r>
      <t>主な変更点
　・出退勤区分（午前/午後）、時間外指示内容の列を追加
　・遅刻早退区分（午前</t>
    </r>
    <r>
      <rPr>
        <sz val="11"/>
        <rFont val="ＭＳ Ｐゴシック"/>
        <family val="3"/>
        <charset val="128"/>
      </rPr>
      <t>/</t>
    </r>
    <r>
      <rPr>
        <sz val="11"/>
        <rFont val="ＭＳ Ｐゴシック"/>
        <family val="3"/>
        <charset val="128"/>
      </rPr>
      <t>午後）列を廃止
　・シフト勤務の入力に対応
　・0.25深夜、休日の時間区分</t>
    </r>
    <r>
      <rPr>
        <sz val="11"/>
        <rFont val="ＭＳ Ｐゴシック"/>
        <family val="3"/>
        <charset val="128"/>
      </rPr>
      <t>(1.25/1.35)</t>
    </r>
    <r>
      <rPr>
        <sz val="11"/>
        <rFont val="ＭＳ Ｐゴシック"/>
        <family val="3"/>
        <charset val="128"/>
      </rPr>
      <t>の自動計算を廃止。
　・日報Excelシートを追加</t>
    </r>
    <rPh sb="0" eb="1">
      <t>オモ</t>
    </rPh>
    <rPh sb="2" eb="4">
      <t>ヘンコウ</t>
    </rPh>
    <rPh sb="4" eb="5">
      <t>テン</t>
    </rPh>
    <rPh sb="8" eb="9">
      <t>シュツ</t>
    </rPh>
    <rPh sb="9" eb="11">
      <t>タイキン</t>
    </rPh>
    <rPh sb="11" eb="13">
      <t>クブン</t>
    </rPh>
    <rPh sb="21" eb="24">
      <t>ジカンガイ</t>
    </rPh>
    <rPh sb="24" eb="26">
      <t>シジ</t>
    </rPh>
    <rPh sb="26" eb="28">
      <t>ナイヨウ</t>
    </rPh>
    <rPh sb="29" eb="30">
      <t>レツ</t>
    </rPh>
    <rPh sb="31" eb="33">
      <t>ツイカ</t>
    </rPh>
    <rPh sb="36" eb="38">
      <t>チコク</t>
    </rPh>
    <rPh sb="38" eb="40">
      <t>ソウタイ</t>
    </rPh>
    <rPh sb="40" eb="42">
      <t>クブン</t>
    </rPh>
    <rPh sb="49" eb="50">
      <t>レツ</t>
    </rPh>
    <rPh sb="51" eb="53">
      <t>ハイシ</t>
    </rPh>
    <rPh sb="59" eb="61">
      <t>キンム</t>
    </rPh>
    <rPh sb="62" eb="64">
      <t>ニュウリョク</t>
    </rPh>
    <rPh sb="65" eb="67">
      <t>タイオウ</t>
    </rPh>
    <rPh sb="74" eb="76">
      <t>シンヤ</t>
    </rPh>
    <rPh sb="77" eb="79">
      <t>キュウジツ</t>
    </rPh>
    <rPh sb="101" eb="103">
      <t>ハイシ</t>
    </rPh>
    <rPh sb="107" eb="109">
      <t>ニッポウ</t>
    </rPh>
    <rPh sb="118" eb="120">
      <t>ツイカ</t>
    </rPh>
    <phoneticPr fontId="3"/>
  </si>
  <si>
    <t>1.41</t>
    <phoneticPr fontId="3"/>
  </si>
  <si>
    <r>
      <t>主な変更点
　・C</t>
    </r>
    <r>
      <rPr>
        <sz val="11"/>
        <rFont val="ＭＳ Ｐゴシック"/>
        <family val="3"/>
        <charset val="128"/>
      </rPr>
      <t xml:space="preserve">SV出力処理の不具合を修正
　・時間区分を社員と協力会社で別に定義するように変更
　・ファイル名に含まれる社員IDと、『作業日報』シートに入力した社員IDを比較するチェックを追加
　・開始終了算出(O列)と実績合計(P列)の合計一致チェックを追加（ワーニングを表示）
</t>
    </r>
    <rPh sb="0" eb="1">
      <t>オモ</t>
    </rPh>
    <rPh sb="2" eb="4">
      <t>ヘンコウ</t>
    </rPh>
    <rPh sb="4" eb="5">
      <t>テン</t>
    </rPh>
    <rPh sb="11" eb="13">
      <t>シュツリョク</t>
    </rPh>
    <rPh sb="13" eb="15">
      <t>ショリ</t>
    </rPh>
    <rPh sb="16" eb="19">
      <t>フグアイ</t>
    </rPh>
    <rPh sb="20" eb="22">
      <t>シュウセイ</t>
    </rPh>
    <rPh sb="25" eb="27">
      <t>ジカン</t>
    </rPh>
    <rPh sb="27" eb="29">
      <t>クブン</t>
    </rPh>
    <rPh sb="30" eb="32">
      <t>シャイン</t>
    </rPh>
    <rPh sb="33" eb="35">
      <t>キョウリョク</t>
    </rPh>
    <rPh sb="35" eb="37">
      <t>ガイシャ</t>
    </rPh>
    <rPh sb="38" eb="39">
      <t>ベツ</t>
    </rPh>
    <rPh sb="40" eb="42">
      <t>テイギ</t>
    </rPh>
    <rPh sb="47" eb="49">
      <t>ヘンコウ</t>
    </rPh>
    <rPh sb="130" eb="132">
      <t>ツイカ</t>
    </rPh>
    <rPh sb="139" eb="141">
      <t>ヒョウジ</t>
    </rPh>
    <phoneticPr fontId="3"/>
  </si>
  <si>
    <t>1.42</t>
    <phoneticPr fontId="3"/>
  </si>
  <si>
    <t>主な変更点
　・入力時間の単位変更（15分→5分）に伴うチェック処理の変更</t>
    <rPh sb="0" eb="1">
      <t>オモ</t>
    </rPh>
    <rPh sb="2" eb="4">
      <t>ヘンコウ</t>
    </rPh>
    <rPh sb="4" eb="5">
      <t>テン</t>
    </rPh>
    <rPh sb="8" eb="10">
      <t>ニュウリョク</t>
    </rPh>
    <rPh sb="10" eb="12">
      <t>ジカン</t>
    </rPh>
    <rPh sb="13" eb="15">
      <t>タンイ</t>
    </rPh>
    <rPh sb="15" eb="17">
      <t>ヘンコウ</t>
    </rPh>
    <rPh sb="20" eb="21">
      <t>フン</t>
    </rPh>
    <rPh sb="23" eb="24">
      <t>フン</t>
    </rPh>
    <rPh sb="26" eb="27">
      <t>トモナ</t>
    </rPh>
    <rPh sb="32" eb="34">
      <t>ショリ</t>
    </rPh>
    <rPh sb="35" eb="37">
      <t>ヘンコウ</t>
    </rPh>
    <phoneticPr fontId="3"/>
  </si>
  <si>
    <t>1.43</t>
    <phoneticPr fontId="3"/>
  </si>
  <si>
    <t>主な変更点
　・日報Excelファイルの変更に伴う、出力先シートの変更（社員用は「入力用シート」に出力するように変更）</t>
    <rPh sb="0" eb="1">
      <t>オモ</t>
    </rPh>
    <rPh sb="2" eb="4">
      <t>ヘンコウ</t>
    </rPh>
    <rPh sb="4" eb="5">
      <t>テン</t>
    </rPh>
    <rPh sb="8" eb="10">
      <t>ニッポウ</t>
    </rPh>
    <rPh sb="20" eb="22">
      <t>ヘンコウ</t>
    </rPh>
    <rPh sb="23" eb="24">
      <t>トモナ</t>
    </rPh>
    <rPh sb="26" eb="28">
      <t>シュツリョク</t>
    </rPh>
    <rPh sb="28" eb="29">
      <t>サキ</t>
    </rPh>
    <rPh sb="33" eb="35">
      <t>ヘンコウ</t>
    </rPh>
    <rPh sb="36" eb="39">
      <t>シャインヨウ</t>
    </rPh>
    <rPh sb="41" eb="43">
      <t>ニュウリョク</t>
    </rPh>
    <rPh sb="43" eb="44">
      <t>ヨウ</t>
    </rPh>
    <rPh sb="49" eb="51">
      <t>シュツリョク</t>
    </rPh>
    <rPh sb="56" eb="58">
      <t>ヘンコウ</t>
    </rPh>
    <phoneticPr fontId="3"/>
  </si>
  <si>
    <t>1.44</t>
    <phoneticPr fontId="3"/>
  </si>
  <si>
    <t>主な変更点
　・日報Excelファイルの変更に伴う改修
　　・「保存休」列の追加対応
　　・出退勤区分の変更対応（年休の詳細(病欠とか)を選ぶようになった）</t>
    <rPh sb="0" eb="1">
      <t>オモ</t>
    </rPh>
    <rPh sb="2" eb="4">
      <t>ヘンコウ</t>
    </rPh>
    <rPh sb="4" eb="5">
      <t>テン</t>
    </rPh>
    <rPh sb="25" eb="27">
      <t>カイシュウ</t>
    </rPh>
    <rPh sb="40" eb="42">
      <t>タイオウ</t>
    </rPh>
    <rPh sb="54" eb="56">
      <t>タイオウ</t>
    </rPh>
    <phoneticPr fontId="3"/>
  </si>
  <si>
    <t>1.45</t>
    <phoneticPr fontId="3"/>
  </si>
  <si>
    <t>主な変更点
　・日報Excelファイルの変更に伴う改修
　　・出退勤区分に「14:保存休(私傷病)」「15:保存休(看護)」「16:保存休(介護)」を追加
　　・時間区分のプルダウンに「保存休」を追加
　　・保存休に関する出退勤区分と時間区分のチェックを追加
　　・時間区分のプルダウンから「代休取得」を削除
　　・祝日テーブルに山の日を追加
　　・部署のプルダウンをH28年度版に変更
　　・正月手当の期間を「12/30～1/4」→「12/29～1/3」に変更</t>
    <rPh sb="0" eb="1">
      <t>オモ</t>
    </rPh>
    <rPh sb="2" eb="4">
      <t>ヘンコウ</t>
    </rPh>
    <rPh sb="4" eb="5">
      <t>テン</t>
    </rPh>
    <rPh sb="25" eb="27">
      <t>カイシュウ</t>
    </rPh>
    <rPh sb="31" eb="34">
      <t>シュッタイキン</t>
    </rPh>
    <rPh sb="34" eb="36">
      <t>クブン</t>
    </rPh>
    <rPh sb="75" eb="77">
      <t>ツイカ</t>
    </rPh>
    <rPh sb="93" eb="95">
      <t>ホゾン</t>
    </rPh>
    <rPh sb="95" eb="96">
      <t>キュウ</t>
    </rPh>
    <rPh sb="98" eb="100">
      <t>ツイカ</t>
    </rPh>
    <rPh sb="104" eb="106">
      <t>ホゾン</t>
    </rPh>
    <rPh sb="106" eb="107">
      <t>キュウ</t>
    </rPh>
    <rPh sb="108" eb="109">
      <t>カン</t>
    </rPh>
    <rPh sb="111" eb="114">
      <t>シュッタイキン</t>
    </rPh>
    <rPh sb="114" eb="116">
      <t>クブン</t>
    </rPh>
    <rPh sb="117" eb="119">
      <t>ジカン</t>
    </rPh>
    <rPh sb="119" eb="121">
      <t>クブン</t>
    </rPh>
    <rPh sb="127" eb="129">
      <t>ツイカ</t>
    </rPh>
    <rPh sb="133" eb="135">
      <t>ジカン</t>
    </rPh>
    <rPh sb="135" eb="137">
      <t>クブン</t>
    </rPh>
    <rPh sb="146" eb="148">
      <t>ダイキュウ</t>
    </rPh>
    <rPh sb="148" eb="150">
      <t>シュトク</t>
    </rPh>
    <rPh sb="152" eb="154">
      <t>サクジョ</t>
    </rPh>
    <rPh sb="158" eb="160">
      <t>シュクジツ</t>
    </rPh>
    <rPh sb="165" eb="166">
      <t>ヤマ</t>
    </rPh>
    <rPh sb="167" eb="168">
      <t>ヒ</t>
    </rPh>
    <rPh sb="169" eb="171">
      <t>ツイカ</t>
    </rPh>
    <rPh sb="175" eb="177">
      <t>ブショ</t>
    </rPh>
    <rPh sb="187" eb="189">
      <t>ネンド</t>
    </rPh>
    <rPh sb="189" eb="190">
      <t>バン</t>
    </rPh>
    <rPh sb="191" eb="193">
      <t>ヘンコウ</t>
    </rPh>
    <rPh sb="197" eb="199">
      <t>ショウガツ</t>
    </rPh>
    <rPh sb="199" eb="201">
      <t>テアテ</t>
    </rPh>
    <rPh sb="202" eb="204">
      <t>キカン</t>
    </rPh>
    <rPh sb="229" eb="231">
      <t>ヘンコウ</t>
    </rPh>
    <phoneticPr fontId="3"/>
  </si>
  <si>
    <t>1.46</t>
    <phoneticPr fontId="3"/>
  </si>
  <si>
    <t>主な変更点
　・日報Excelファイルの更改(ver.2.7)に伴う改修
　　・出退勤区分の区分値の変更
　　・チェック処理の変更
　　・CSV出力処理の修正
　　・CSV取込処理の修正
　　・一括出力時に取り込めるEXCELファイルの種類を追加（*.xlsm）
　　・「勤務区分表」を追加</t>
    <rPh sb="0" eb="1">
      <t>オモ</t>
    </rPh>
    <rPh sb="2" eb="4">
      <t>ヘンコウ</t>
    </rPh>
    <rPh sb="4" eb="5">
      <t>テン</t>
    </rPh>
    <rPh sb="20" eb="22">
      <t>コウカイ</t>
    </rPh>
    <rPh sb="34" eb="36">
      <t>カイシュウ</t>
    </rPh>
    <rPh sb="63" eb="65">
      <t>ヘンコウ</t>
    </rPh>
    <rPh sb="72" eb="74">
      <t>シュツリョク</t>
    </rPh>
    <rPh sb="74" eb="76">
      <t>ショリ</t>
    </rPh>
    <rPh sb="77" eb="79">
      <t>シュウセイ</t>
    </rPh>
    <rPh sb="88" eb="90">
      <t>ショリ</t>
    </rPh>
    <rPh sb="91" eb="93">
      <t>シュウセイ</t>
    </rPh>
    <rPh sb="101" eb="102">
      <t>ジ</t>
    </rPh>
    <rPh sb="103" eb="104">
      <t>ト</t>
    </rPh>
    <rPh sb="105" eb="106">
      <t>コ</t>
    </rPh>
    <rPh sb="118" eb="120">
      <t>シュルイ</t>
    </rPh>
    <rPh sb="121" eb="123">
      <t>ツイカ</t>
    </rPh>
    <rPh sb="136" eb="138">
      <t>キンム</t>
    </rPh>
    <rPh sb="138" eb="140">
      <t>クブン</t>
    </rPh>
    <rPh sb="140" eb="141">
      <t>ヒョウ</t>
    </rPh>
    <rPh sb="143" eb="145">
      <t>ツイカ</t>
    </rPh>
    <phoneticPr fontId="20"/>
  </si>
  <si>
    <t>1.46.64</t>
    <phoneticPr fontId="3"/>
  </si>
  <si>
    <t>主な変更点
　・64bit版Officeに対応</t>
    <rPh sb="0" eb="1">
      <t>オモ</t>
    </rPh>
    <rPh sb="2" eb="5">
      <t>ヘンコウテン</t>
    </rPh>
    <rPh sb="13" eb="14">
      <t>バン</t>
    </rPh>
    <rPh sb="21" eb="23">
      <t>タイオウ</t>
    </rPh>
    <phoneticPr fontId="3"/>
  </si>
  <si>
    <t>1.47</t>
    <phoneticPr fontId="3"/>
  </si>
  <si>
    <t>主な変更点
　・日報Excelファイルの更改(ver.2.8)に伴う改修
　　・作業日報シートの時間数の入力形式(h:mm)に変更
　　　→休憩時間、遅刻早退時間(プルダウン廃止)、開始終了算出、実績時間数
　　・時間数の書式変更に伴う処理の変更
　　　→チェック処理、CSV出力、CSV取込、日報Excel作成、作業報告書作成、データ収集
　　・クリアボタン押下時に休憩時間に1:00をセットするように変更
　　・「時分変換表」を追加</t>
    <rPh sb="0" eb="1">
      <t>オモ</t>
    </rPh>
    <rPh sb="2" eb="5">
      <t>ヘンコウテン</t>
    </rPh>
    <rPh sb="40" eb="42">
      <t>サギョウ</t>
    </rPh>
    <rPh sb="42" eb="44">
      <t>ニッポウ</t>
    </rPh>
    <rPh sb="48" eb="51">
      <t>ジカンスウ</t>
    </rPh>
    <rPh sb="52" eb="54">
      <t>ニュウリョク</t>
    </rPh>
    <rPh sb="54" eb="56">
      <t>ケイシキ</t>
    </rPh>
    <rPh sb="63" eb="65">
      <t>ヘンコウ</t>
    </rPh>
    <rPh sb="107" eb="110">
      <t>ジカンスウ</t>
    </rPh>
    <rPh sb="111" eb="113">
      <t>ショシキ</t>
    </rPh>
    <rPh sb="113" eb="115">
      <t>ヘンコウ</t>
    </rPh>
    <rPh sb="116" eb="117">
      <t>トモナ</t>
    </rPh>
    <rPh sb="118" eb="120">
      <t>ショリ</t>
    </rPh>
    <rPh sb="121" eb="123">
      <t>ヘンコウ</t>
    </rPh>
    <rPh sb="147" eb="149">
      <t>ニッポウ</t>
    </rPh>
    <rPh sb="154" eb="156">
      <t>サクセイ</t>
    </rPh>
    <rPh sb="162" eb="164">
      <t>サクセイ</t>
    </rPh>
    <rPh sb="209" eb="211">
      <t>ジフン</t>
    </rPh>
    <rPh sb="211" eb="213">
      <t>ヘンカン</t>
    </rPh>
    <rPh sb="213" eb="214">
      <t>ヒョウ</t>
    </rPh>
    <rPh sb="216" eb="218">
      <t>ツイカ</t>
    </rPh>
    <phoneticPr fontId="3"/>
  </si>
  <si>
    <t>1.48は欠番</t>
    <rPh sb="5" eb="7">
      <t>ケツバン</t>
    </rPh>
    <phoneticPr fontId="3"/>
  </si>
  <si>
    <t>-</t>
  </si>
  <si>
    <t>1.49</t>
  </si>
  <si>
    <t>主な変更点
　・遅刻早退時間上限２時間制限の廃止対応
　・日報Excelファイルの更改(ver.2.9)に伴う改修
　　・「祝日」シートに、祝日以外の法定外休日（夏季休暇・年末年始休暇）の入力欄を追加
　　・「作業実績」「日報Excel」シートの「祝日」列を「法定/法定外」列に変更</t>
    <rPh sb="0" eb="1">
      <t>オモ</t>
    </rPh>
    <rPh sb="2" eb="5">
      <t>ヘンコウテン</t>
    </rPh>
    <phoneticPr fontId="3"/>
  </si>
  <si>
    <t>1.50</t>
    <phoneticPr fontId="3"/>
  </si>
  <si>
    <t>主な変更点
　・振休取得時の時間数チェックの範囲を『7:45以上』から、『6:00 or 7:45以上』に変更（時短勤務者の考慮）</t>
    <rPh sb="0" eb="1">
      <t>オモ</t>
    </rPh>
    <rPh sb="2" eb="5">
      <t>ヘンコウテン</t>
    </rPh>
    <rPh sb="8" eb="10">
      <t>フリキュウ</t>
    </rPh>
    <rPh sb="10" eb="12">
      <t>シュトク</t>
    </rPh>
    <rPh sb="12" eb="13">
      <t>ジ</t>
    </rPh>
    <rPh sb="14" eb="17">
      <t>ジカンスウ</t>
    </rPh>
    <rPh sb="22" eb="24">
      <t>ハンイ</t>
    </rPh>
    <rPh sb="30" eb="32">
      <t>イジョウ</t>
    </rPh>
    <rPh sb="49" eb="51">
      <t>イジョウ</t>
    </rPh>
    <rPh sb="53" eb="55">
      <t>ヘンコウ</t>
    </rPh>
    <rPh sb="56" eb="58">
      <t>ジタン</t>
    </rPh>
    <rPh sb="58" eb="61">
      <t>キンムシャ</t>
    </rPh>
    <rPh sb="62" eb="64">
      <t>コウリョ</t>
    </rPh>
    <phoneticPr fontId="3"/>
  </si>
  <si>
    <t>1.51</t>
  </si>
  <si>
    <t>主な変更点
　・「祝日」シートに2019年度、2020年度の祝日変更を反映
　・CSV、EXCELの読み込み時に、一時ファイルを読み込まないよう修正(ファイル名の先頭が『~$』のファイル)</t>
    <rPh sb="0" eb="1">
      <t>オモ</t>
    </rPh>
    <rPh sb="2" eb="5">
      <t>ヘンコウテン</t>
    </rPh>
    <rPh sb="9" eb="11">
      <t>シュクジツ</t>
    </rPh>
    <rPh sb="20" eb="22">
      <t>ネンド</t>
    </rPh>
    <rPh sb="27" eb="29">
      <t>ネンド</t>
    </rPh>
    <rPh sb="30" eb="32">
      <t>シュクジツ</t>
    </rPh>
    <rPh sb="32" eb="34">
      <t>ヘンコウ</t>
    </rPh>
    <rPh sb="35" eb="37">
      <t>ハンエイ</t>
    </rPh>
    <rPh sb="50" eb="51">
      <t>ヨ</t>
    </rPh>
    <rPh sb="52" eb="53">
      <t>コ</t>
    </rPh>
    <rPh sb="54" eb="55">
      <t>ジ</t>
    </rPh>
    <rPh sb="57" eb="59">
      <t>イチジ</t>
    </rPh>
    <rPh sb="64" eb="65">
      <t>ヨ</t>
    </rPh>
    <rPh sb="66" eb="67">
      <t>コ</t>
    </rPh>
    <rPh sb="72" eb="74">
      <t>シュウセイ</t>
    </rPh>
    <rPh sb="79" eb="80">
      <t>メイ</t>
    </rPh>
    <rPh sb="81" eb="83">
      <t>セントウ</t>
    </rPh>
    <phoneticPr fontId="3"/>
  </si>
  <si>
    <t>1.52</t>
  </si>
  <si>
    <t>主な変更点
　・BPの日報Excel出力時に都度互換性チェックのダイアログが表示される問題に対応</t>
    <rPh sb="0" eb="1">
      <t>オモ</t>
    </rPh>
    <rPh sb="2" eb="5">
      <t>ヘンコウテン</t>
    </rPh>
    <rPh sb="11" eb="13">
      <t>ニッポウ</t>
    </rPh>
    <rPh sb="18" eb="20">
      <t>シュツリョク</t>
    </rPh>
    <rPh sb="20" eb="21">
      <t>ジ</t>
    </rPh>
    <rPh sb="22" eb="24">
      <t>ツド</t>
    </rPh>
    <rPh sb="24" eb="27">
      <t>ゴカンセイ</t>
    </rPh>
    <rPh sb="38" eb="40">
      <t>ヒョウジ</t>
    </rPh>
    <rPh sb="43" eb="45">
      <t>モンダイ</t>
    </rPh>
    <rPh sb="46" eb="48">
      <t>タイオウ</t>
    </rPh>
    <phoneticPr fontId="3"/>
  </si>
  <si>
    <t>1.53</t>
    <phoneticPr fontId="3"/>
  </si>
  <si>
    <t>主な変更点
　・社員用日報Excel出力時に「祝日」シートにパスワードが掛かってしまう不具合を解消</t>
    <rPh sb="0" eb="1">
      <t>オモ</t>
    </rPh>
    <rPh sb="2" eb="5">
      <t>ヘンコウテン</t>
    </rPh>
    <rPh sb="43" eb="46">
      <t>フグアイ</t>
    </rPh>
    <rPh sb="47" eb="49">
      <t>カイショウ</t>
    </rPh>
    <phoneticPr fontId="3"/>
  </si>
  <si>
    <t>1.54</t>
    <phoneticPr fontId="3"/>
  </si>
  <si>
    <t>主な変更点
　・BEAMS運用開始に伴う改修
　　・プロジェクトコードの桁数変更対応(10桁→12桁)
　　・日報Excelのフォーマットを社員用に統一（BP用は廃止）</t>
    <rPh sb="0" eb="1">
      <t>オモ</t>
    </rPh>
    <rPh sb="2" eb="5">
      <t>ヘンコウテン</t>
    </rPh>
    <rPh sb="36" eb="38">
      <t>ケタスウ</t>
    </rPh>
    <rPh sb="38" eb="40">
      <t>ヘンコウ</t>
    </rPh>
    <rPh sb="40" eb="42">
      <t>タイオウ</t>
    </rPh>
    <rPh sb="45" eb="46">
      <t>ケタ</t>
    </rPh>
    <rPh sb="49" eb="50">
      <t>ケタ</t>
    </rPh>
    <rPh sb="55" eb="57">
      <t>ニッポウ</t>
    </rPh>
    <rPh sb="70" eb="73">
      <t>シャインヨウ</t>
    </rPh>
    <rPh sb="74" eb="76">
      <t>トウイツ</t>
    </rPh>
    <rPh sb="79" eb="80">
      <t>ヨウ</t>
    </rPh>
    <rPh sb="81" eb="83">
      <t>ハイシ</t>
    </rPh>
    <phoneticPr fontId="3"/>
  </si>
  <si>
    <t>1.55</t>
    <phoneticPr fontId="3"/>
  </si>
  <si>
    <t>主な変更点
　・日報Excelのテンプレート改定に伴う対応
　　・日報Excelへ転記する際のパスワード解除・設定処理を変更
　　・「日報Excel」シートのExcelバージョンを2.10に変更</t>
    <rPh sb="0" eb="1">
      <t>オモ</t>
    </rPh>
    <rPh sb="2" eb="5">
      <t>ヘンコウテン</t>
    </rPh>
    <rPh sb="8" eb="10">
      <t>ニッポウ</t>
    </rPh>
    <rPh sb="22" eb="24">
      <t>カイテイ</t>
    </rPh>
    <rPh sb="25" eb="26">
      <t>トモナ</t>
    </rPh>
    <rPh sb="27" eb="29">
      <t>タイオウ</t>
    </rPh>
    <rPh sb="33" eb="35">
      <t>ニッポウ</t>
    </rPh>
    <rPh sb="41" eb="43">
      <t>テンキ</t>
    </rPh>
    <rPh sb="45" eb="46">
      <t>サイ</t>
    </rPh>
    <rPh sb="52" eb="54">
      <t>カイジョ</t>
    </rPh>
    <rPh sb="55" eb="57">
      <t>セッテイ</t>
    </rPh>
    <rPh sb="57" eb="59">
      <t>ショリ</t>
    </rPh>
    <rPh sb="60" eb="62">
      <t>ヘンコウ</t>
    </rPh>
    <rPh sb="67" eb="69">
      <t>ニッポウ</t>
    </rPh>
    <rPh sb="95" eb="97">
      <t>ヘンコウ</t>
    </rPh>
    <phoneticPr fontId="3"/>
  </si>
  <si>
    <t>1.56</t>
    <phoneticPr fontId="3"/>
  </si>
  <si>
    <t>主な変更点
　・振休取得時の時間数チェックを廃止</t>
    <rPh sb="0" eb="1">
      <t>オモ</t>
    </rPh>
    <rPh sb="2" eb="5">
      <t>ヘンコウテン</t>
    </rPh>
    <rPh sb="22" eb="24">
      <t>ハイシ</t>
    </rPh>
    <phoneticPr fontId="3"/>
  </si>
  <si>
    <t>メンバー</t>
  </si>
  <si>
    <t>SMC(移行導入)</t>
  </si>
  <si>
    <t>SMC(派遣)</t>
  </si>
  <si>
    <t>A1</t>
  </si>
  <si>
    <t>見積</t>
  </si>
  <si>
    <t>D1</t>
  </si>
  <si>
    <t>案件対応</t>
  </si>
  <si>
    <t>D2</t>
  </si>
  <si>
    <t>検証環境構築</t>
  </si>
  <si>
    <t>I1</t>
  </si>
  <si>
    <t>構成管理</t>
  </si>
  <si>
    <t>I2</t>
  </si>
  <si>
    <t>保全</t>
  </si>
  <si>
    <t>J1</t>
  </si>
  <si>
    <t>サービス影響調査</t>
  </si>
  <si>
    <t>J2</t>
  </si>
  <si>
    <t>タイムチャート</t>
  </si>
  <si>
    <t>K1</t>
  </si>
  <si>
    <t>作業手順書作成</t>
  </si>
  <si>
    <t>K2</t>
  </si>
  <si>
    <t>商用環境構築</t>
  </si>
  <si>
    <t>K3</t>
  </si>
  <si>
    <t>作業申請</t>
  </si>
  <si>
    <t>K4</t>
  </si>
  <si>
    <t>障害対応</t>
  </si>
  <si>
    <t>L1</t>
  </si>
  <si>
    <t>会議体</t>
  </si>
  <si>
    <t>L2</t>
  </si>
  <si>
    <t>管理</t>
  </si>
  <si>
    <t>L3</t>
  </si>
  <si>
    <t>納品</t>
  </si>
  <si>
    <t>M1</t>
  </si>
  <si>
    <t>PR-233320101</t>
    <phoneticPr fontId="3"/>
  </si>
  <si>
    <t>株式会社エフォート</t>
    <rPh sb="0" eb="4">
      <t>カブシキカイシャ</t>
    </rPh>
    <phoneticPr fontId="3"/>
  </si>
  <si>
    <t>協力会社</t>
  </si>
  <si>
    <t>作業内容
（必須）</t>
    <phoneticPr fontId="3"/>
  </si>
  <si>
    <t>k001446</t>
    <phoneticPr fontId="3"/>
  </si>
  <si>
    <t>伊藤　毅之</t>
    <rPh sb="0" eb="2">
      <t>イトウ</t>
    </rPh>
    <rPh sb="3" eb="5">
      <t>タカユキ</t>
    </rPh>
    <phoneticPr fontId="3"/>
  </si>
  <si>
    <t>一般</t>
  </si>
  <si>
    <t>五郎川　毅</t>
    <phoneticPr fontId="3"/>
  </si>
  <si>
    <t>k001446</t>
  </si>
  <si>
    <t>伊藤　毅之</t>
  </si>
  <si>
    <t>PR-233320101</t>
  </si>
  <si>
    <t>I1：構成管理</t>
  </si>
  <si>
    <t>テレワーク</t>
  </si>
  <si>
    <t>テレワーク</t>
    <phoneticPr fontId="3"/>
  </si>
  <si>
    <t>構成管理業務</t>
    <rPh sb="0" eb="4">
      <t>コウセイカンリ</t>
    </rPh>
    <rPh sb="4" eb="6">
      <t>ギョウム</t>
    </rPh>
    <phoneticPr fontId="3"/>
  </si>
  <si>
    <t>G:\作業報告書(派遣)_1.11.xls</t>
    <phoneticPr fontId="3"/>
  </si>
  <si>
    <t>EA3-2G</t>
  </si>
  <si>
    <t>EA事業部　システム三部　第二グループ</t>
  </si>
  <si>
    <t>\\efiles\DABI(3)\開発系_チーム(3)\移行導入\90.事務処理\TOKAICOM勤務報告\2022年4月\勤務表\k001446_2204日報(伊藤毅之).xls</t>
    <phoneticPr fontId="3"/>
  </si>
  <si>
    <t>午前:出勤/午後:テレワーク</t>
  </si>
  <si>
    <t>午前:出勤/午後:テレワーク</t>
    <rPh sb="0" eb="2">
      <t>ゴゼン</t>
    </rPh>
    <rPh sb="3" eb="5">
      <t>シュッキン</t>
    </rPh>
    <rPh sb="6" eb="8">
      <t>ゴゴ</t>
    </rPh>
    <phoneticPr fontId="3"/>
  </si>
  <si>
    <t>午前:テレワーク/午後:出勤</t>
  </si>
  <si>
    <t>午前:テレワーク/午後:出勤</t>
    <rPh sb="0" eb="2">
      <t>ゴゼン</t>
    </rPh>
    <rPh sb="9" eb="11">
      <t>ゴゴ</t>
    </rPh>
    <rPh sb="12" eb="14">
      <t>シュッキン</t>
    </rPh>
    <phoneticPr fontId="3"/>
  </si>
  <si>
    <t>HC-00027330</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</si>
</sst>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76" formatCode="m"/>
    <numFmt numFmtId="177" formatCode="d"/>
    <numFmt numFmtId="178" formatCode="aaa"/>
    <numFmt numFmtId="179" formatCode="#0\:00"/>
    <numFmt numFmtId="180" formatCode="yyyy/mm/dd"/>
    <numFmt numFmtId="181" formatCode="0.00_ "/>
    <numFmt numFmtId="182" formatCode="0;0;"/>
    <numFmt numFmtId="183" formatCode="0.00_);[Red]\(0.00\)"/>
    <numFmt numFmtId="184" formatCode="[h]:mm;[h]:mm;"/>
    <numFmt numFmtId="185" formatCode="[h]:mm_);;"/>
    <numFmt numFmtId="186" formatCode="[h]:mm_);[Red]\([h]:mm\);"/>
    <numFmt numFmtId="187" formatCode="[h]:mm_);"/>
    <numFmt numFmtId="188" formatCode="yyyy/m/d;@"/>
    <numFmt numFmtId="189" formatCode="[h]&quot;時間&quot;mm&quot;分&quot;;"/>
    <numFmt numFmtId="190" formatCode="[h]&quot;時間&quot;mm&quot;分&quot;;[h]&quot;時間&quot;mm&quot;分&quot;"/>
    <numFmt numFmtId="191" formatCode="[h]:mm;[h]:mm"/>
    <numFmt numFmtId="192" formatCode="m&quot;月&quot;d&quot;日&quot;;@"/>
    <numFmt numFmtId="193" formatCode="[$-F800]dddd\,\ mmmm\ dd\,\ yyyy"/>
    <numFmt numFmtId="194" formatCode="General\ &quot;分&quot;"/>
  </numFmts>
  <fonts count="38">
    <font>
      <sz val="11"/>
      <name val="ＭＳ Ｐゴシック"/>
      <family val="3"/>
      <charset val="128"/>
    </font>
    <font>
      <sz val="11"/>
      <name val="ＭＳ Ｐゴシック"/>
      <family val="3"/>
      <charset val="128"/>
    </font>
    <font>
      <sz val="9"/>
      <name val="ＭＳ ゴシック"/>
      <family val="3"/>
      <charset val="128"/>
    </font>
    <font>
      <sz val="6"/>
      <name val="ＭＳ Ｐゴシック"/>
      <family val="3"/>
      <charset val="128"/>
    </font>
    <font>
      <b/>
      <sz val="9"/>
      <name val="ＭＳ ゴシック"/>
      <family val="3"/>
      <charset val="128"/>
    </font>
    <font>
      <sz val="11"/>
      <name val="ＭＳ ゴシック"/>
      <family val="3"/>
      <charset val="128"/>
    </font>
    <font>
      <sz val="6"/>
      <name val="ＭＳ ゴシック"/>
      <family val="3"/>
      <charset val="128"/>
    </font>
    <font>
      <sz val="9"/>
      <name val="ＭＳ Ｐゴシック"/>
      <family val="3"/>
      <charset val="128"/>
    </font>
    <font>
      <sz val="9"/>
      <color indexed="10"/>
      <name val="ＭＳ ゴシック"/>
      <family val="3"/>
      <charset val="128"/>
    </font>
    <font>
      <b/>
      <sz val="9"/>
      <color indexed="81"/>
      <name val="ＭＳ Ｐゴシック"/>
      <family val="3"/>
      <charset val="128"/>
    </font>
    <font>
      <sz val="9"/>
      <color indexed="81"/>
      <name val="ＭＳ Ｐゴシック"/>
      <family val="3"/>
      <charset val="128"/>
    </font>
    <font>
      <sz val="12"/>
      <color indexed="81"/>
      <name val="ＭＳ Ｐゴシック"/>
      <family val="3"/>
      <charset val="128"/>
    </font>
    <font>
      <i/>
      <u/>
      <sz val="14"/>
      <color rgb="FF002060"/>
      <name val="Meiryo UI"/>
      <family val="3"/>
      <charset val="128"/>
    </font>
    <font>
      <sz val="10"/>
      <color rgb="FF002060"/>
      <name val="Meiryo UI"/>
      <family val="3"/>
      <charset val="128"/>
    </font>
    <font>
      <sz val="14"/>
      <color rgb="FF002060"/>
      <name val="Meiryo UI"/>
      <family val="3"/>
      <charset val="128"/>
    </font>
    <font>
      <sz val="11"/>
      <color rgb="FF002060"/>
      <name val="Meiryo UI"/>
      <family val="3"/>
      <charset val="128"/>
    </font>
    <font>
      <sz val="11"/>
      <name val="Meiryo UI"/>
      <family val="3"/>
      <charset val="128"/>
    </font>
    <font>
      <sz val="9"/>
      <color rgb="FF002060"/>
      <name val="Meiryo UI"/>
      <family val="3"/>
      <charset val="128"/>
    </font>
    <font>
      <sz val="11"/>
      <color rgb="FFFF0000"/>
      <name val="Meiryo UI"/>
      <family val="3"/>
      <charset val="128"/>
    </font>
    <font>
      <sz val="11"/>
      <color rgb="FF000000"/>
      <name val="Meiryo UI"/>
      <family val="3"/>
      <charset val="128"/>
    </font>
    <font>
      <b/>
      <sz val="11"/>
      <name val="ＭＳ ゴシック"/>
      <family val="3"/>
      <charset val="128"/>
    </font>
    <font>
      <sz val="11"/>
      <color indexed="10"/>
      <name val="ＭＳ ゴシック"/>
      <family val="3"/>
      <charset val="128"/>
    </font>
    <font>
      <sz val="11"/>
      <color indexed="8"/>
      <name val="ＭＳ ゴシック"/>
      <family val="3"/>
      <charset val="128"/>
    </font>
    <font>
      <b/>
      <sz val="16"/>
      <name val="ＭＳ Ｐゴシック"/>
      <family val="3"/>
      <charset val="128"/>
    </font>
    <font>
      <b/>
      <sz val="14"/>
      <name val="ＭＳ Ｐゴシック"/>
      <family val="3"/>
      <charset val="128"/>
    </font>
    <font>
      <sz val="10"/>
      <name val="ＭＳ ゴシック"/>
      <family val="3"/>
      <charset val="128"/>
    </font>
    <font>
      <sz val="10"/>
      <name val="ＭＳ Ｐゴシック"/>
      <family val="3"/>
      <charset val="128"/>
    </font>
    <font>
      <sz val="12"/>
      <name val="ＭＳ ゴシック"/>
      <family val="3"/>
      <charset val="128"/>
    </font>
    <font>
      <sz val="9"/>
      <color indexed="26"/>
      <name val="ＭＳ ゴシック"/>
      <family val="3"/>
      <charset val="128"/>
    </font>
    <font>
      <b/>
      <sz val="11"/>
      <color indexed="12"/>
      <name val="ＭＳ ゴシック"/>
      <family val="3"/>
      <charset val="128"/>
    </font>
    <font>
      <b/>
      <sz val="10"/>
      <name val="ＭＳ ゴシック"/>
      <family val="3"/>
      <charset val="128"/>
    </font>
    <font>
      <b/>
      <sz val="10"/>
      <color rgb="FFFF0000"/>
      <name val="ＭＳ ゴシック"/>
      <family val="3"/>
      <charset val="128"/>
    </font>
    <font>
      <sz val="6"/>
      <name val="MS UI Gothic"/>
      <family val="3"/>
      <charset val="128"/>
    </font>
    <font>
      <b/>
      <sz val="16"/>
      <name val="ＭＳ ゴシック"/>
      <family val="3"/>
      <charset val="128"/>
    </font>
    <font>
      <sz val="16"/>
      <color theme="1"/>
      <name val="Meiryo UI"/>
      <family val="3"/>
      <charset val="128"/>
    </font>
    <font>
      <sz val="16"/>
      <name val="Meiryo UI"/>
      <family val="3"/>
      <charset val="128"/>
    </font>
    <font>
      <sz val="11"/>
      <color indexed="10"/>
      <name val="ＭＳ Ｐゴシック"/>
      <family val="3"/>
      <charset val="128"/>
    </font>
    <font>
      <sz val="11"/>
      <color indexed="12"/>
      <name val="ＭＳ Ｐゴシック"/>
      <family val="3"/>
      <charset val="128"/>
    </font>
  </fonts>
  <fills count="18">
    <fill>
      <patternFill patternType="none"/>
    </fill>
    <fill>
      <patternFill patternType="gray125"/>
    </fill>
    <fill>
      <patternFill patternType="solid">
        <fgColor indexed="41"/>
        <bgColor indexed="64"/>
      </patternFill>
    </fill>
    <fill>
      <patternFill patternType="solid">
        <fgColor indexed="22"/>
        <bgColor indexed="64"/>
      </patternFill>
    </fill>
    <fill>
      <patternFill patternType="solid">
        <fgColor indexed="43"/>
        <bgColor indexed="64"/>
      </patternFill>
    </fill>
    <fill>
      <patternFill patternType="solid">
        <fgColor theme="0" tint="-0.249977111117893"/>
        <bgColor indexed="64"/>
      </patternFill>
    </fill>
    <fill>
      <patternFill patternType="solid">
        <fgColor indexed="44"/>
        <bgColor indexed="64"/>
      </patternFill>
    </fill>
    <fill>
      <patternFill patternType="solid">
        <fgColor indexed="9"/>
        <bgColor indexed="64"/>
      </patternFill>
    </fill>
    <fill>
      <patternFill patternType="solid">
        <fgColor rgb="FFCCFFFF"/>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indexed="42"/>
        <bgColor indexed="64"/>
      </patternFill>
    </fill>
    <fill>
      <patternFill patternType="solid">
        <fgColor indexed="52"/>
        <bgColor indexed="64"/>
      </patternFill>
    </fill>
    <fill>
      <patternFill patternType="solid">
        <fgColor rgb="FFCCFFCC"/>
        <bgColor indexed="64"/>
      </patternFill>
    </fill>
    <fill>
      <patternFill patternType="solid">
        <fgColor rgb="FFFFFFCC"/>
        <bgColor indexed="64"/>
      </patternFill>
    </fill>
    <fill>
      <patternFill patternType="solid">
        <fgColor rgb="FFFFFF00"/>
        <bgColor indexed="64"/>
      </patternFill>
    </fill>
  </fills>
  <borders count="13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thin">
        <color indexed="64"/>
      </top>
      <bottom style="dashed">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dashed">
        <color indexed="64"/>
      </top>
      <bottom style="thin">
        <color indexed="64"/>
      </bottom>
      <diagonal/>
    </border>
    <border>
      <left/>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double">
        <color indexed="64"/>
      </right>
      <top style="medium">
        <color indexed="64"/>
      </top>
      <bottom style="hair">
        <color indexed="64"/>
      </bottom>
      <diagonal/>
    </border>
    <border>
      <left style="thin">
        <color indexed="64"/>
      </left>
      <right style="hair">
        <color indexed="64"/>
      </right>
      <top style="medium">
        <color indexed="64"/>
      </top>
      <bottom/>
      <diagonal/>
    </border>
    <border>
      <left style="hair">
        <color indexed="64"/>
      </left>
      <right style="double">
        <color indexed="64"/>
      </right>
      <top style="medium">
        <color indexed="64"/>
      </top>
      <bottom/>
      <diagonal/>
    </border>
    <border>
      <left style="double">
        <color indexed="64"/>
      </left>
      <right style="hair">
        <color indexed="64"/>
      </right>
      <top style="medium">
        <color indexed="64"/>
      </top>
      <bottom style="hair">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double">
        <color indexed="64"/>
      </right>
      <top style="medium">
        <color indexed="64"/>
      </top>
      <bottom style="thin">
        <color indexed="64"/>
      </bottom>
      <diagonal/>
    </border>
    <border>
      <left style="hair">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right style="double">
        <color indexed="64"/>
      </right>
      <top style="medium">
        <color indexed="64"/>
      </top>
      <bottom style="hair">
        <color indexed="64"/>
      </bottom>
      <diagonal/>
    </border>
    <border>
      <left style="double">
        <color indexed="64"/>
      </left>
      <right/>
      <top style="medium">
        <color indexed="64"/>
      </top>
      <bottom style="hair">
        <color indexed="64"/>
      </bottom>
      <diagonal/>
    </border>
    <border>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style="double">
        <color indexed="64"/>
      </left>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hair">
        <color indexed="64"/>
      </right>
      <top style="medium">
        <color indexed="64"/>
      </top>
      <bottom/>
      <diagonal/>
    </border>
    <border>
      <left style="hair">
        <color indexed="64"/>
      </left>
      <right style="thin">
        <color indexed="64"/>
      </right>
      <top style="medium">
        <color indexed="64"/>
      </top>
      <bottom/>
      <diagonal/>
    </border>
    <border>
      <left/>
      <right style="medium">
        <color indexed="64"/>
      </right>
      <top style="medium">
        <color indexed="64"/>
      </top>
      <bottom style="hair">
        <color indexed="64"/>
      </bottom>
      <diagonal/>
    </border>
    <border>
      <left style="medium">
        <color indexed="64"/>
      </left>
      <right/>
      <top/>
      <bottom/>
      <diagonal/>
    </border>
    <border>
      <left style="medium">
        <color indexed="64"/>
      </left>
      <right style="hair">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double">
        <color indexed="64"/>
      </right>
      <top style="hair">
        <color indexed="64"/>
      </top>
      <bottom style="medium">
        <color indexed="64"/>
      </bottom>
      <diagonal/>
    </border>
    <border>
      <left style="thin">
        <color indexed="64"/>
      </left>
      <right style="hair">
        <color indexed="64"/>
      </right>
      <top/>
      <bottom style="medium">
        <color indexed="64"/>
      </bottom>
      <diagonal/>
    </border>
    <border>
      <left style="hair">
        <color indexed="64"/>
      </left>
      <right style="double">
        <color indexed="64"/>
      </right>
      <top/>
      <bottom style="medium">
        <color indexed="64"/>
      </bottom>
      <diagonal/>
    </border>
    <border>
      <left style="double">
        <color indexed="64"/>
      </left>
      <right style="hair">
        <color indexed="64"/>
      </right>
      <top style="hair">
        <color indexed="64"/>
      </top>
      <bottom style="medium">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style="double">
        <color indexed="64"/>
      </right>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hair">
        <color indexed="64"/>
      </left>
      <right style="double">
        <color indexed="64"/>
      </right>
      <top style="hair">
        <color indexed="64"/>
      </top>
      <bottom style="medium">
        <color indexed="64"/>
      </bottom>
      <diagonal/>
    </border>
    <border>
      <left style="double">
        <color indexed="64"/>
      </left>
      <right style="thin">
        <color indexed="64"/>
      </right>
      <top style="hair">
        <color indexed="64"/>
      </top>
      <bottom style="medium">
        <color indexed="64"/>
      </bottom>
      <diagonal/>
    </border>
    <border>
      <left/>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hair">
        <color indexed="64"/>
      </right>
      <top style="hair">
        <color indexed="64"/>
      </top>
      <bottom style="medium">
        <color indexed="64"/>
      </bottom>
      <diagonal/>
    </border>
    <border>
      <left style="double">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right style="hair">
        <color indexed="64"/>
      </right>
      <top/>
      <bottom style="medium">
        <color indexed="64"/>
      </bottom>
      <diagonal/>
    </border>
    <border>
      <left style="hair">
        <color indexed="64"/>
      </left>
      <right style="thin">
        <color indexed="64"/>
      </right>
      <top/>
      <bottom style="medium">
        <color indexed="64"/>
      </bottom>
      <diagonal/>
    </border>
    <border>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style="hair">
        <color indexed="64"/>
      </right>
      <top style="medium">
        <color indexed="64"/>
      </top>
      <bottom style="thin">
        <color indexed="64"/>
      </bottom>
      <diagonal/>
    </border>
    <border>
      <left style="hair">
        <color indexed="64"/>
      </left>
      <right style="double">
        <color indexed="64"/>
      </right>
      <top style="medium">
        <color indexed="64"/>
      </top>
      <bottom style="thin">
        <color indexed="64"/>
      </bottom>
      <diagonal/>
    </border>
    <border>
      <left style="double">
        <color indexed="64"/>
      </left>
      <right style="hair">
        <color indexed="64"/>
      </right>
      <top style="thin">
        <color indexed="64"/>
      </top>
      <bottom style="thin">
        <color indexed="64"/>
      </bottom>
      <diagonal/>
    </border>
    <border>
      <left style="hair">
        <color indexed="64"/>
      </left>
      <right style="thin">
        <color indexed="64"/>
      </right>
      <top style="medium">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top style="medium">
        <color indexed="64"/>
      </top>
      <bottom style="thin">
        <color indexed="64"/>
      </bottom>
      <diagonal/>
    </border>
    <border>
      <left style="double">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double">
        <color indexed="64"/>
      </left>
      <right style="hair">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style="double">
        <color indexed="64"/>
      </left>
      <right style="double">
        <color indexed="64"/>
      </right>
      <top style="medium">
        <color indexed="64"/>
      </top>
      <bottom style="thin">
        <color indexed="64"/>
      </bottom>
      <diagonal/>
    </border>
    <border>
      <left/>
      <right style="hair">
        <color indexed="64"/>
      </right>
      <top style="thin">
        <color indexed="64"/>
      </top>
      <bottom style="thin">
        <color indexed="64"/>
      </bottom>
      <diagonal/>
    </border>
    <border>
      <left style="hair">
        <color indexed="64"/>
      </left>
      <right style="double">
        <color indexed="64"/>
      </right>
      <top style="thin">
        <color indexed="64"/>
      </top>
      <bottom style="thin">
        <color indexed="64"/>
      </bottom>
      <diagonal/>
    </border>
    <border>
      <left style="hair">
        <color indexed="64"/>
      </left>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hair">
        <color indexed="64"/>
      </right>
      <top style="thin">
        <color indexed="64"/>
      </top>
      <bottom/>
      <diagonal/>
    </border>
    <border>
      <left style="hair">
        <color indexed="64"/>
      </left>
      <right style="double">
        <color indexed="64"/>
      </right>
      <top style="thin">
        <color indexed="64"/>
      </top>
      <bottom style="medium">
        <color indexed="64"/>
      </bottom>
      <diagonal/>
    </border>
    <border>
      <left style="hair">
        <color indexed="64"/>
      </left>
      <right style="thin">
        <color indexed="64"/>
      </right>
      <top style="thin">
        <color indexed="64"/>
      </top>
      <bottom style="medium">
        <color indexed="64"/>
      </bottom>
      <diagonal/>
    </border>
    <border>
      <left/>
      <right style="hair">
        <color indexed="64"/>
      </right>
      <top style="thin">
        <color indexed="64"/>
      </top>
      <bottom style="medium">
        <color indexed="64"/>
      </bottom>
      <diagonal/>
    </border>
    <border>
      <left/>
      <right/>
      <top style="thin">
        <color indexed="64"/>
      </top>
      <bottom style="medium">
        <color indexed="64"/>
      </bottom>
      <diagonal/>
    </border>
    <border>
      <left style="double">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style="hair">
        <color indexed="64"/>
      </right>
      <top style="thin">
        <color indexed="64"/>
      </top>
      <bottom style="medium">
        <color indexed="64"/>
      </bottom>
      <diagonal/>
    </border>
    <border>
      <left style="double">
        <color indexed="64"/>
      </left>
      <right style="double">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hair">
        <color indexed="64"/>
      </right>
      <top style="medium">
        <color indexed="64"/>
      </top>
      <bottom style="medium">
        <color indexed="64"/>
      </bottom>
      <diagonal/>
    </border>
    <border>
      <left style="hair">
        <color indexed="64"/>
      </left>
      <right style="double">
        <color indexed="64"/>
      </right>
      <top style="medium">
        <color indexed="64"/>
      </top>
      <bottom style="medium">
        <color indexed="64"/>
      </bottom>
      <diagonal/>
    </border>
    <border>
      <left style="double">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top style="medium">
        <color indexed="64"/>
      </top>
      <bottom style="medium">
        <color indexed="64"/>
      </bottom>
      <diagonal/>
    </border>
    <border>
      <left style="double">
        <color indexed="64"/>
      </left>
      <right style="thin">
        <color indexed="64"/>
      </right>
      <top style="medium">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thin">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s>
  <cellStyleXfs count="4">
    <xf numFmtId="0" fontId="0" fillId="0" borderId="0"/>
    <xf numFmtId="0" fontId="5" fillId="0" borderId="0"/>
    <xf numFmtId="0" fontId="5" fillId="0" borderId="0"/>
    <xf numFmtId="0" fontId="5" fillId="0" borderId="0"/>
  </cellStyleXfs>
  <cellXfs count="529">
    <xf numFmtId="0" fontId="0" fillId="0" borderId="0" xfId="0"/>
    <xf numFmtId="0" fontId="2" fillId="2" borderId="0" xfId="0" applyFont="1" applyFill="1"/>
    <xf numFmtId="0" fontId="4" fillId="2" borderId="0" xfId="0" applyFont="1" applyFill="1"/>
    <xf numFmtId="0" fontId="2" fillId="3" borderId="0" xfId="0" applyFont="1" applyFill="1"/>
    <xf numFmtId="0" fontId="2" fillId="2" borderId="0" xfId="0" applyFont="1" applyFill="1" applyAlignment="1">
      <alignment horizontal="right"/>
    </xf>
    <xf numFmtId="0" fontId="2" fillId="0" borderId="0" xfId="0" applyFont="1"/>
    <xf numFmtId="0" fontId="5" fillId="3" borderId="2" xfId="0" applyFont="1" applyFill="1" applyBorder="1" applyAlignment="1" applyProtection="1">
      <alignment horizontal="center" vertical="center"/>
      <protection hidden="1"/>
    </xf>
    <xf numFmtId="0" fontId="5" fillId="3" borderId="2" xfId="0" applyFont="1" applyFill="1" applyBorder="1" applyAlignment="1" applyProtection="1">
      <alignment horizontal="center" vertical="center" shrinkToFit="1"/>
      <protection hidden="1"/>
    </xf>
    <xf numFmtId="0" fontId="5" fillId="2" borderId="1" xfId="0" applyFont="1" applyFill="1" applyBorder="1" applyAlignment="1" applyProtection="1">
      <alignment horizontal="center" vertical="center"/>
      <protection hidden="1"/>
    </xf>
    <xf numFmtId="0" fontId="5" fillId="2" borderId="1" xfId="0" applyFont="1" applyFill="1" applyBorder="1" applyAlignment="1" applyProtection="1">
      <alignment horizontal="center" vertical="center" shrinkToFit="1"/>
      <protection hidden="1"/>
    </xf>
    <xf numFmtId="0" fontId="5" fillId="3" borderId="2" xfId="0" applyFont="1" applyFill="1" applyBorder="1" applyAlignment="1" applyProtection="1">
      <alignment horizontal="center" vertical="center"/>
      <protection locked="0"/>
    </xf>
    <xf numFmtId="0" fontId="5" fillId="3" borderId="2" xfId="0" applyFont="1" applyFill="1" applyBorder="1" applyAlignment="1" applyProtection="1">
      <alignment horizontal="center" vertical="center" shrinkToFit="1"/>
      <protection locked="0"/>
    </xf>
    <xf numFmtId="49" fontId="5" fillId="0" borderId="1" xfId="0" applyNumberFormat="1" applyFont="1" applyFill="1" applyBorder="1" applyAlignment="1" applyProtection="1">
      <alignment horizontal="center" vertical="center" shrinkToFit="1"/>
      <protection locked="0"/>
    </xf>
    <xf numFmtId="0" fontId="5" fillId="0" borderId="4" xfId="0" applyFont="1" applyFill="1" applyBorder="1" applyAlignment="1" applyProtection="1">
      <alignment horizontal="center" vertical="center" shrinkToFit="1"/>
      <protection locked="0"/>
    </xf>
    <xf numFmtId="0" fontId="5" fillId="2" borderId="4" xfId="0" applyFont="1" applyFill="1" applyBorder="1" applyAlignment="1" applyProtection="1">
      <alignment horizontal="center" vertical="center"/>
      <protection hidden="1"/>
    </xf>
    <xf numFmtId="0" fontId="2" fillId="2" borderId="0" xfId="0" applyFont="1" applyFill="1" applyAlignment="1"/>
    <xf numFmtId="14" fontId="2" fillId="2" borderId="0" xfId="0" applyNumberFormat="1" applyFont="1" applyFill="1" applyProtection="1">
      <protection locked="0"/>
    </xf>
    <xf numFmtId="0" fontId="2" fillId="2" borderId="0" xfId="0" applyFont="1" applyFill="1" applyProtection="1">
      <protection locked="0"/>
    </xf>
    <xf numFmtId="0" fontId="2" fillId="2" borderId="0" xfId="0" applyFont="1" applyFill="1" applyBorder="1" applyAlignment="1">
      <alignment vertical="center"/>
    </xf>
    <xf numFmtId="0" fontId="2" fillId="4" borderId="0" xfId="0" applyFont="1" applyFill="1"/>
    <xf numFmtId="176" fontId="2" fillId="2" borderId="7" xfId="0" applyNumberFormat="1" applyFont="1" applyFill="1" applyBorder="1" applyAlignment="1" applyProtection="1">
      <alignment horizontal="center" vertical="center"/>
      <protection locked="0"/>
    </xf>
    <xf numFmtId="177" fontId="2" fillId="2" borderId="7" xfId="0" applyNumberFormat="1" applyFont="1" applyFill="1" applyBorder="1" applyAlignment="1" applyProtection="1">
      <alignment horizontal="center" vertical="center"/>
      <protection locked="0"/>
    </xf>
    <xf numFmtId="0" fontId="2" fillId="5" borderId="0" xfId="0" applyFont="1" applyFill="1" applyAlignment="1">
      <alignment horizontal="center"/>
    </xf>
    <xf numFmtId="20" fontId="2" fillId="5" borderId="0" xfId="0" applyNumberFormat="1" applyFont="1" applyFill="1" applyAlignment="1">
      <alignment horizontal="center"/>
    </xf>
    <xf numFmtId="0" fontId="2" fillId="3" borderId="7" xfId="0" applyFont="1" applyFill="1" applyBorder="1" applyAlignment="1">
      <alignment horizontal="center" vertical="center" wrapText="1"/>
    </xf>
    <xf numFmtId="0" fontId="6" fillId="3" borderId="7" xfId="0" applyFont="1" applyFill="1" applyBorder="1" applyAlignment="1">
      <alignment horizontal="center" vertical="center" wrapText="1" shrinkToFit="1"/>
    </xf>
    <xf numFmtId="0" fontId="2" fillId="3" borderId="7" xfId="0" applyFont="1" applyFill="1" applyBorder="1" applyAlignment="1">
      <alignment horizontal="center" vertical="center" textRotation="255"/>
    </xf>
    <xf numFmtId="0" fontId="2" fillId="3" borderId="7" xfId="0" applyFont="1" applyFill="1" applyBorder="1"/>
    <xf numFmtId="0" fontId="2" fillId="3" borderId="7" xfId="0" applyFont="1" applyFill="1" applyBorder="1" applyAlignment="1" applyProtection="1">
      <alignment horizontal="center" vertical="center" wrapText="1"/>
      <protection hidden="1"/>
    </xf>
    <xf numFmtId="0" fontId="2" fillId="2" borderId="0" xfId="0" applyFont="1" applyFill="1" applyBorder="1"/>
    <xf numFmtId="0" fontId="2" fillId="0" borderId="0" xfId="0" applyFont="1" applyBorder="1"/>
    <xf numFmtId="0" fontId="2" fillId="0" borderId="0" xfId="0" applyFont="1" applyFill="1" applyBorder="1"/>
    <xf numFmtId="0" fontId="2" fillId="5" borderId="10" xfId="0" applyNumberFormat="1" applyFont="1" applyFill="1" applyBorder="1" applyAlignment="1" applyProtection="1">
      <alignment horizontal="center" vertical="center"/>
      <protection hidden="1"/>
    </xf>
    <xf numFmtId="20" fontId="2" fillId="8" borderId="10" xfId="0" applyNumberFormat="1" applyFont="1" applyFill="1" applyBorder="1" applyAlignment="1" applyProtection="1">
      <alignment horizontal="center" vertical="center"/>
      <protection hidden="1"/>
    </xf>
    <xf numFmtId="2" fontId="2" fillId="3" borderId="10" xfId="0" applyNumberFormat="1" applyFont="1" applyFill="1" applyBorder="1" applyAlignment="1" applyProtection="1">
      <alignment horizontal="center" vertical="center"/>
      <protection hidden="1"/>
    </xf>
    <xf numFmtId="0" fontId="2" fillId="3" borderId="10" xfId="0" applyNumberFormat="1" applyFont="1" applyFill="1" applyBorder="1" applyAlignment="1" applyProtection="1">
      <alignment horizontal="center" vertical="center"/>
      <protection hidden="1"/>
    </xf>
    <xf numFmtId="49" fontId="2" fillId="7" borderId="13" xfId="0" applyNumberFormat="1" applyFont="1" applyFill="1" applyBorder="1" applyAlignment="1" applyProtection="1">
      <alignment horizontal="center" vertical="top" wrapText="1"/>
      <protection locked="0"/>
    </xf>
    <xf numFmtId="49" fontId="2" fillId="7" borderId="14" xfId="0" applyNumberFormat="1" applyFont="1" applyFill="1" applyBorder="1" applyAlignment="1" applyProtection="1">
      <alignment vertical="top"/>
      <protection locked="0"/>
    </xf>
    <xf numFmtId="49" fontId="2" fillId="7" borderId="14" xfId="0" applyNumberFormat="1" applyFont="1" applyFill="1" applyBorder="1" applyAlignment="1" applyProtection="1">
      <alignment horizontal="left" vertical="top"/>
      <protection locked="0"/>
    </xf>
    <xf numFmtId="20" fontId="2" fillId="0" borderId="14" xfId="0" applyNumberFormat="1" applyFont="1" applyFill="1" applyBorder="1" applyAlignment="1" applyProtection="1">
      <alignment vertical="top" wrapText="1"/>
      <protection locked="0"/>
    </xf>
    <xf numFmtId="181" fontId="2" fillId="7" borderId="14" xfId="0" applyNumberFormat="1" applyFont="1" applyFill="1" applyBorder="1" applyAlignment="1" applyProtection="1">
      <alignment vertical="top"/>
      <protection locked="0"/>
    </xf>
    <xf numFmtId="0" fontId="2" fillId="7" borderId="14" xfId="0" applyFont="1" applyFill="1" applyBorder="1" applyAlignment="1" applyProtection="1">
      <alignment vertical="top" wrapText="1"/>
      <protection locked="0"/>
    </xf>
    <xf numFmtId="0" fontId="2" fillId="7" borderId="14" xfId="0" applyFont="1" applyFill="1" applyBorder="1" applyAlignment="1" applyProtection="1">
      <alignment vertical="top"/>
      <protection locked="0"/>
    </xf>
    <xf numFmtId="0" fontId="2" fillId="0" borderId="14" xfId="0" applyFont="1" applyFill="1" applyBorder="1" applyAlignment="1" applyProtection="1">
      <alignment vertical="top" wrapText="1"/>
      <protection locked="0"/>
    </xf>
    <xf numFmtId="0" fontId="2" fillId="5" borderId="12" xfId="0" applyNumberFormat="1" applyFont="1" applyFill="1" applyBorder="1" applyAlignment="1" applyProtection="1">
      <alignment horizontal="center" vertical="center"/>
      <protection hidden="1"/>
    </xf>
    <xf numFmtId="20" fontId="2" fillId="8" borderId="12" xfId="0" applyNumberFormat="1" applyFont="1" applyFill="1" applyBorder="1" applyAlignment="1" applyProtection="1">
      <alignment horizontal="center" vertical="center"/>
      <protection hidden="1"/>
    </xf>
    <xf numFmtId="2" fontId="2" fillId="8" borderId="12" xfId="0" applyNumberFormat="1" applyFont="1" applyFill="1" applyBorder="1" applyAlignment="1" applyProtection="1">
      <alignment horizontal="center" vertical="center"/>
      <protection hidden="1"/>
    </xf>
    <xf numFmtId="2" fontId="2" fillId="3" borderId="12" xfId="0" applyNumberFormat="1" applyFont="1" applyFill="1" applyBorder="1" applyAlignment="1" applyProtection="1">
      <alignment horizontal="center" vertical="center"/>
      <protection hidden="1"/>
    </xf>
    <xf numFmtId="0" fontId="2" fillId="3" borderId="12" xfId="0" applyNumberFormat="1" applyFont="1" applyFill="1" applyBorder="1" applyAlignment="1" applyProtection="1">
      <alignment horizontal="center" vertical="center"/>
      <protection hidden="1"/>
    </xf>
    <xf numFmtId="49" fontId="2" fillId="7" borderId="13" xfId="0" applyNumberFormat="1" applyFont="1" applyFill="1" applyBorder="1" applyAlignment="1" applyProtection="1">
      <alignment vertical="top"/>
      <protection locked="0"/>
    </xf>
    <xf numFmtId="49" fontId="2" fillId="0" borderId="13" xfId="0" applyNumberFormat="1" applyFont="1" applyFill="1" applyBorder="1" applyAlignment="1" applyProtection="1">
      <alignment vertical="top"/>
      <protection locked="0"/>
    </xf>
    <xf numFmtId="49" fontId="2" fillId="7" borderId="13" xfId="0" applyNumberFormat="1" applyFont="1" applyFill="1" applyBorder="1" applyAlignment="1" applyProtection="1">
      <alignment horizontal="left" vertical="top"/>
      <protection locked="0"/>
    </xf>
    <xf numFmtId="20" fontId="2" fillId="0" borderId="13" xfId="0" applyNumberFormat="1" applyFont="1" applyFill="1" applyBorder="1" applyAlignment="1" applyProtection="1">
      <alignment vertical="top" wrapText="1"/>
      <protection locked="0"/>
    </xf>
    <xf numFmtId="181" fontId="2" fillId="7" borderId="13" xfId="0" applyNumberFormat="1" applyFont="1" applyFill="1" applyBorder="1" applyAlignment="1" applyProtection="1">
      <alignment vertical="top"/>
      <protection locked="0"/>
    </xf>
    <xf numFmtId="0" fontId="2" fillId="0" borderId="13" xfId="0" applyFont="1" applyFill="1" applyBorder="1" applyAlignment="1" applyProtection="1">
      <alignment vertical="top" wrapText="1"/>
      <protection locked="0"/>
    </xf>
    <xf numFmtId="0" fontId="2" fillId="0" borderId="13" xfId="0" applyFont="1" applyFill="1" applyBorder="1" applyAlignment="1" applyProtection="1">
      <alignment vertical="top"/>
      <protection locked="0"/>
    </xf>
    <xf numFmtId="20" fontId="2" fillId="5" borderId="12" xfId="0" applyNumberFormat="1" applyFont="1" applyFill="1" applyBorder="1" applyAlignment="1" applyProtection="1">
      <alignment horizontal="center" vertical="center"/>
      <protection hidden="1"/>
    </xf>
    <xf numFmtId="20" fontId="4" fillId="8" borderId="12" xfId="0" applyNumberFormat="1" applyFont="1" applyFill="1" applyBorder="1" applyAlignment="1" applyProtection="1">
      <alignment horizontal="center" vertical="center"/>
      <protection hidden="1"/>
    </xf>
    <xf numFmtId="2" fontId="2" fillId="3" borderId="16" xfId="0" applyNumberFormat="1" applyFont="1" applyFill="1" applyBorder="1" applyAlignment="1" applyProtection="1">
      <alignment horizontal="center" vertical="center"/>
      <protection hidden="1"/>
    </xf>
    <xf numFmtId="0" fontId="2" fillId="7" borderId="13" xfId="0" applyFont="1" applyFill="1" applyBorder="1" applyAlignment="1" applyProtection="1">
      <alignment vertical="top" wrapText="1"/>
      <protection locked="0"/>
    </xf>
    <xf numFmtId="0" fontId="2" fillId="7" borderId="13" xfId="0" applyFont="1" applyFill="1" applyBorder="1" applyAlignment="1" applyProtection="1">
      <alignment vertical="top"/>
      <protection locked="0"/>
    </xf>
    <xf numFmtId="0" fontId="2" fillId="5" borderId="11" xfId="0" applyNumberFormat="1" applyFont="1" applyFill="1" applyBorder="1" applyAlignment="1" applyProtection="1">
      <alignment horizontal="center" vertical="center"/>
      <protection hidden="1"/>
    </xf>
    <xf numFmtId="2" fontId="2" fillId="8" borderId="11" xfId="0" applyNumberFormat="1" applyFont="1" applyFill="1" applyBorder="1" applyAlignment="1" applyProtection="1">
      <alignment horizontal="center" vertical="center"/>
      <protection hidden="1"/>
    </xf>
    <xf numFmtId="2" fontId="2" fillId="3" borderId="11" xfId="0" applyNumberFormat="1" applyFont="1" applyFill="1" applyBorder="1" applyAlignment="1" applyProtection="1">
      <alignment horizontal="center" vertical="center"/>
      <protection hidden="1"/>
    </xf>
    <xf numFmtId="0" fontId="2" fillId="3" borderId="11" xfId="0" applyNumberFormat="1" applyFont="1" applyFill="1" applyBorder="1" applyAlignment="1" applyProtection="1">
      <alignment horizontal="center" vertical="center"/>
      <protection hidden="1"/>
    </xf>
    <xf numFmtId="49" fontId="2" fillId="7" borderId="17" xfId="0" applyNumberFormat="1" applyFont="1" applyFill="1" applyBorder="1" applyAlignment="1" applyProtection="1">
      <alignment horizontal="center" vertical="top" wrapText="1"/>
      <protection locked="0"/>
    </xf>
    <xf numFmtId="49" fontId="2" fillId="7" borderId="17" xfId="0" applyNumberFormat="1" applyFont="1" applyFill="1" applyBorder="1" applyAlignment="1" applyProtection="1">
      <alignment vertical="top"/>
      <protection locked="0"/>
    </xf>
    <xf numFmtId="49" fontId="2" fillId="0" borderId="17" xfId="0" applyNumberFormat="1" applyFont="1" applyFill="1" applyBorder="1" applyAlignment="1" applyProtection="1">
      <alignment vertical="top"/>
      <protection locked="0"/>
    </xf>
    <xf numFmtId="49" fontId="2" fillId="7" borderId="17" xfId="0" applyNumberFormat="1" applyFont="1" applyFill="1" applyBorder="1" applyAlignment="1" applyProtection="1">
      <alignment horizontal="left" vertical="top"/>
      <protection locked="0"/>
    </xf>
    <xf numFmtId="20" fontId="2" fillId="0" borderId="17" xfId="0" applyNumberFormat="1" applyFont="1" applyFill="1" applyBorder="1" applyAlignment="1" applyProtection="1">
      <alignment vertical="top" wrapText="1"/>
      <protection locked="0"/>
    </xf>
    <xf numFmtId="181" fontId="2" fillId="7" borderId="17" xfId="0" applyNumberFormat="1" applyFont="1" applyFill="1" applyBorder="1" applyAlignment="1" applyProtection="1">
      <alignment vertical="top"/>
      <protection locked="0"/>
    </xf>
    <xf numFmtId="0" fontId="2" fillId="0" borderId="17" xfId="0" applyFont="1" applyFill="1" applyBorder="1" applyAlignment="1" applyProtection="1">
      <alignment vertical="top" wrapText="1"/>
      <protection locked="0"/>
    </xf>
    <xf numFmtId="0" fontId="2" fillId="0" borderId="17" xfId="0" applyFont="1" applyFill="1" applyBorder="1" applyAlignment="1" applyProtection="1">
      <alignment vertical="top"/>
      <protection locked="0"/>
    </xf>
    <xf numFmtId="0" fontId="2" fillId="0" borderId="14" xfId="0" applyFont="1" applyFill="1" applyBorder="1" applyAlignment="1" applyProtection="1">
      <alignment vertical="top"/>
      <protection locked="0"/>
    </xf>
    <xf numFmtId="0" fontId="2" fillId="2" borderId="18" xfId="0" applyFont="1" applyFill="1" applyBorder="1" applyAlignment="1">
      <alignment vertical="top" wrapText="1"/>
    </xf>
    <xf numFmtId="0" fontId="2" fillId="2" borderId="8" xfId="0" applyFont="1" applyFill="1" applyBorder="1" applyAlignment="1">
      <alignment vertical="top" wrapText="1"/>
    </xf>
    <xf numFmtId="0" fontId="2" fillId="2" borderId="18" xfId="0" applyFont="1" applyFill="1" applyBorder="1" applyAlignment="1">
      <alignment vertical="top"/>
    </xf>
    <xf numFmtId="0" fontId="2" fillId="2" borderId="9" xfId="0" applyFont="1" applyFill="1" applyBorder="1" applyAlignment="1">
      <alignment vertical="top" wrapText="1"/>
    </xf>
    <xf numFmtId="0" fontId="2" fillId="2" borderId="7" xfId="0" applyFont="1" applyFill="1" applyBorder="1" applyAlignment="1">
      <alignment vertical="top" wrapText="1"/>
    </xf>
    <xf numFmtId="0" fontId="2" fillId="2" borderId="7" xfId="0" applyFont="1" applyFill="1" applyBorder="1" applyAlignment="1">
      <alignment vertical="top"/>
    </xf>
    <xf numFmtId="0" fontId="2" fillId="2" borderId="7" xfId="0" applyFont="1" applyFill="1" applyBorder="1" applyAlignment="1" applyProtection="1">
      <alignment vertical="top" wrapText="1"/>
      <protection locked="0"/>
    </xf>
    <xf numFmtId="0" fontId="2" fillId="2" borderId="7" xfId="0" applyFont="1" applyFill="1" applyBorder="1" applyAlignment="1" applyProtection="1">
      <alignment vertical="top"/>
      <protection locked="0"/>
    </xf>
    <xf numFmtId="56" fontId="2" fillId="2" borderId="7" xfId="0" applyNumberFormat="1" applyFont="1" applyFill="1" applyBorder="1" applyAlignment="1" applyProtection="1">
      <alignment vertical="top" wrapText="1"/>
      <protection locked="0"/>
    </xf>
    <xf numFmtId="49" fontId="2" fillId="2" borderId="7" xfId="0" applyNumberFormat="1" applyFont="1" applyFill="1" applyBorder="1" applyAlignment="1" applyProtection="1">
      <alignment vertical="top" wrapText="1"/>
      <protection locked="0"/>
    </xf>
    <xf numFmtId="0" fontId="2" fillId="0" borderId="0" xfId="0" applyFont="1" applyAlignment="1"/>
    <xf numFmtId="0" fontId="12" fillId="0" borderId="0" xfId="0" applyFont="1" applyAlignment="1">
      <alignment vertical="center"/>
    </xf>
    <xf numFmtId="0" fontId="13" fillId="0" borderId="0" xfId="0" applyFont="1"/>
    <xf numFmtId="0" fontId="14" fillId="0" borderId="0" xfId="0" applyFont="1" applyAlignment="1">
      <alignment vertical="center"/>
    </xf>
    <xf numFmtId="0" fontId="13" fillId="0" borderId="0" xfId="0" applyFont="1" applyFill="1" applyBorder="1"/>
    <xf numFmtId="0" fontId="15" fillId="9" borderId="7" xfId="0" applyFont="1" applyFill="1" applyBorder="1" applyAlignment="1">
      <alignment vertical="center"/>
    </xf>
    <xf numFmtId="49" fontId="13" fillId="0" borderId="0" xfId="0" applyNumberFormat="1" applyFont="1" applyFill="1" applyBorder="1" applyAlignment="1">
      <alignment vertical="center"/>
    </xf>
    <xf numFmtId="0" fontId="13" fillId="0" borderId="0" xfId="0" applyNumberFormat="1" applyFont="1" applyFill="1" applyBorder="1" applyAlignment="1">
      <alignment vertical="center"/>
    </xf>
    <xf numFmtId="0" fontId="16" fillId="0" borderId="7" xfId="0" applyNumberFormat="1" applyFont="1" applyFill="1" applyBorder="1" applyAlignment="1">
      <alignment vertical="center"/>
    </xf>
    <xf numFmtId="49" fontId="15" fillId="0" borderId="7" xfId="0" applyNumberFormat="1" applyFont="1" applyBorder="1" applyAlignment="1">
      <alignment vertical="center" wrapText="1"/>
    </xf>
    <xf numFmtId="0" fontId="13" fillId="0" borderId="7" xfId="0" applyFont="1" applyBorder="1"/>
    <xf numFmtId="0" fontId="17" fillId="0" borderId="0" xfId="0" applyNumberFormat="1" applyFont="1" applyFill="1" applyBorder="1" applyAlignment="1">
      <alignment horizontal="justify" vertical="center" wrapText="1"/>
    </xf>
    <xf numFmtId="0" fontId="18" fillId="0" borderId="7" xfId="0" applyNumberFormat="1" applyFont="1" applyFill="1" applyBorder="1" applyAlignment="1">
      <alignment vertical="center"/>
    </xf>
    <xf numFmtId="49" fontId="15" fillId="0" borderId="7" xfId="0" applyNumberFormat="1" applyFont="1" applyBorder="1" applyAlignment="1">
      <alignment vertical="center"/>
    </xf>
    <xf numFmtId="0" fontId="15" fillId="0" borderId="7" xfId="0" applyFont="1" applyBorder="1" applyAlignment="1">
      <alignment vertical="center"/>
    </xf>
    <xf numFmtId="49" fontId="15" fillId="0" borderId="7" xfId="0" applyNumberFormat="1" applyFont="1" applyFill="1" applyBorder="1" applyAlignment="1">
      <alignment vertical="center" wrapText="1"/>
    </xf>
    <xf numFmtId="0" fontId="18" fillId="10" borderId="7" xfId="0" applyNumberFormat="1" applyFont="1" applyFill="1" applyBorder="1" applyAlignment="1">
      <alignment vertical="center"/>
    </xf>
    <xf numFmtId="49" fontId="15" fillId="0" borderId="7" xfId="0" applyNumberFormat="1" applyFont="1" applyFill="1" applyBorder="1" applyAlignment="1">
      <alignment vertical="center"/>
    </xf>
    <xf numFmtId="0" fontId="15" fillId="11" borderId="7" xfId="0" applyNumberFormat="1" applyFont="1" applyFill="1" applyBorder="1" applyAlignment="1">
      <alignment vertical="center"/>
    </xf>
    <xf numFmtId="0" fontId="19" fillId="0" borderId="7" xfId="0" applyNumberFormat="1" applyFont="1" applyFill="1" applyBorder="1" applyAlignment="1">
      <alignment vertical="center"/>
    </xf>
    <xf numFmtId="0" fontId="15" fillId="0" borderId="0" xfId="0" applyFont="1"/>
    <xf numFmtId="0" fontId="15" fillId="12" borderId="7" xfId="0" applyFont="1" applyFill="1" applyBorder="1" applyAlignment="1">
      <alignment vertical="center"/>
    </xf>
    <xf numFmtId="0" fontId="15" fillId="0" borderId="7" xfId="0" applyFont="1" applyBorder="1"/>
    <xf numFmtId="49" fontId="15" fillId="0" borderId="7" xfId="0" applyNumberFormat="1" applyFont="1" applyBorder="1"/>
    <xf numFmtId="0" fontId="15" fillId="0" borderId="7" xfId="0" applyFont="1" applyBorder="1" applyAlignment="1">
      <alignment wrapText="1"/>
    </xf>
    <xf numFmtId="0" fontId="15" fillId="0" borderId="10" xfId="0" applyFont="1" applyBorder="1"/>
    <xf numFmtId="49" fontId="15" fillId="0" borderId="10" xfId="0" applyNumberFormat="1" applyFont="1" applyBorder="1"/>
    <xf numFmtId="0" fontId="15" fillId="0" borderId="19" xfId="0" applyFont="1" applyBorder="1"/>
    <xf numFmtId="49" fontId="15" fillId="0" borderId="19" xfId="0" applyNumberFormat="1" applyFont="1" applyBorder="1"/>
    <xf numFmtId="0" fontId="5" fillId="0" borderId="0" xfId="1" applyFont="1" applyAlignment="1" applyProtection="1">
      <alignment vertical="center"/>
      <protection hidden="1"/>
    </xf>
    <xf numFmtId="0" fontId="5" fillId="0" borderId="0" xfId="1" applyFont="1" applyFill="1" applyAlignment="1" applyProtection="1">
      <alignment vertical="center"/>
      <protection hidden="1"/>
    </xf>
    <xf numFmtId="0" fontId="5" fillId="0" borderId="0" xfId="1" applyNumberFormat="1" applyFont="1" applyAlignment="1" applyProtection="1">
      <alignment vertical="center"/>
      <protection hidden="1"/>
    </xf>
    <xf numFmtId="0" fontId="5" fillId="0" borderId="0" xfId="1" applyProtection="1">
      <protection hidden="1"/>
    </xf>
    <xf numFmtId="182" fontId="5" fillId="0" borderId="0" xfId="1" applyNumberFormat="1" applyBorder="1" applyAlignment="1"/>
    <xf numFmtId="0" fontId="2" fillId="0" borderId="20" xfId="1" applyFont="1" applyBorder="1" applyAlignment="1" applyProtection="1">
      <protection hidden="1"/>
    </xf>
    <xf numFmtId="0" fontId="5" fillId="0" borderId="0" xfId="1" applyBorder="1" applyAlignment="1" applyProtection="1">
      <protection hidden="1"/>
    </xf>
    <xf numFmtId="0" fontId="5" fillId="0" borderId="0" xfId="1" applyFont="1" applyBorder="1" applyAlignment="1" applyProtection="1">
      <protection hidden="1"/>
    </xf>
    <xf numFmtId="183" fontId="5" fillId="0" borderId="0" xfId="1" applyNumberFormat="1" applyFont="1" applyBorder="1" applyAlignment="1" applyProtection="1">
      <alignment vertical="center"/>
      <protection hidden="1"/>
    </xf>
    <xf numFmtId="0" fontId="5" fillId="0" borderId="22" xfId="1" applyFont="1" applyBorder="1" applyAlignment="1" applyProtection="1">
      <alignment horizontal="center" vertical="center"/>
      <protection hidden="1"/>
    </xf>
    <xf numFmtId="182" fontId="5" fillId="0" borderId="0" xfId="1" applyNumberFormat="1" applyFont="1" applyBorder="1" applyAlignment="1" applyProtection="1">
      <protection hidden="1"/>
    </xf>
    <xf numFmtId="0" fontId="2" fillId="0" borderId="20" xfId="1" applyFont="1" applyBorder="1" applyAlignment="1" applyProtection="1">
      <alignment horizontal="right"/>
      <protection hidden="1"/>
    </xf>
    <xf numFmtId="0" fontId="2" fillId="0" borderId="20" xfId="1" applyFont="1" applyBorder="1" applyAlignment="1" applyProtection="1">
      <alignment vertical="center"/>
      <protection hidden="1"/>
    </xf>
    <xf numFmtId="49" fontId="2" fillId="0" borderId="0" xfId="1" applyNumberFormat="1" applyFont="1" applyBorder="1" applyAlignment="1" applyProtection="1">
      <protection hidden="1"/>
    </xf>
    <xf numFmtId="0" fontId="2" fillId="0" borderId="0" xfId="1" applyFont="1" applyBorder="1" applyAlignment="1" applyProtection="1">
      <alignment horizontal="right"/>
      <protection hidden="1"/>
    </xf>
    <xf numFmtId="0" fontId="5" fillId="0" borderId="22" xfId="1" quotePrefix="1" applyFont="1" applyBorder="1" applyAlignment="1" applyProtection="1">
      <alignment horizontal="center" vertical="center"/>
      <protection hidden="1"/>
    </xf>
    <xf numFmtId="49" fontId="5" fillId="13" borderId="25" xfId="1" applyNumberFormat="1" applyFont="1" applyFill="1" applyBorder="1" applyAlignment="1" applyProtection="1">
      <alignment horizontal="center" vertical="center" shrinkToFit="1"/>
    </xf>
    <xf numFmtId="0" fontId="5" fillId="0" borderId="25" xfId="1" applyFont="1" applyBorder="1" applyAlignment="1" applyProtection="1">
      <alignment horizontal="center" vertical="center"/>
      <protection hidden="1"/>
    </xf>
    <xf numFmtId="0" fontId="5" fillId="0" borderId="26" xfId="1" applyFont="1" applyFill="1" applyBorder="1" applyAlignment="1" applyProtection="1">
      <alignment vertical="center" shrinkToFit="1"/>
    </xf>
    <xf numFmtId="0" fontId="5" fillId="0" borderId="0" xfId="1" applyFont="1" applyFill="1" applyBorder="1" applyAlignment="1" applyProtection="1">
      <alignment horizontal="center" vertical="center" shrinkToFit="1"/>
      <protection hidden="1"/>
    </xf>
    <xf numFmtId="49" fontId="5" fillId="0" borderId="0" xfId="1" applyNumberFormat="1" applyFont="1" applyFill="1" applyBorder="1" applyAlignment="1" applyProtection="1">
      <alignment horizontal="center" vertical="center" shrinkToFit="1"/>
      <protection hidden="1"/>
    </xf>
    <xf numFmtId="0" fontId="5" fillId="0" borderId="0" xfId="1" applyFont="1" applyAlignment="1" applyProtection="1">
      <alignment horizontal="center" vertical="center"/>
      <protection hidden="1"/>
    </xf>
    <xf numFmtId="0" fontId="5" fillId="7" borderId="36" xfId="0" applyFont="1" applyFill="1" applyBorder="1" applyAlignment="1" applyProtection="1">
      <alignment horizontal="center" vertical="center"/>
      <protection hidden="1"/>
    </xf>
    <xf numFmtId="49" fontId="5" fillId="7" borderId="33" xfId="0" applyNumberFormat="1" applyFont="1" applyFill="1" applyBorder="1" applyAlignment="1" applyProtection="1">
      <alignment horizontal="center" vertical="center"/>
      <protection hidden="1"/>
    </xf>
    <xf numFmtId="49" fontId="5" fillId="7" borderId="41" xfId="0" applyNumberFormat="1" applyFont="1" applyFill="1" applyBorder="1" applyAlignment="1" applyProtection="1">
      <alignment horizontal="center" vertical="center"/>
      <protection hidden="1"/>
    </xf>
    <xf numFmtId="0" fontId="5" fillId="7" borderId="47" xfId="0" applyFont="1" applyFill="1" applyBorder="1" applyAlignment="1" applyProtection="1">
      <alignment horizontal="center" vertical="center"/>
      <protection hidden="1"/>
    </xf>
    <xf numFmtId="0" fontId="5" fillId="7" borderId="44" xfId="0" applyFont="1" applyFill="1" applyBorder="1" applyAlignment="1" applyProtection="1">
      <alignment horizontal="centerContinuous" vertical="center" wrapText="1"/>
      <protection hidden="1"/>
    </xf>
    <xf numFmtId="0" fontId="5" fillId="7" borderId="38" xfId="0" applyFont="1" applyFill="1" applyBorder="1" applyAlignment="1" applyProtection="1">
      <alignment horizontal="centerContinuous" vertical="center" wrapText="1"/>
      <protection hidden="1"/>
    </xf>
    <xf numFmtId="0" fontId="5" fillId="7" borderId="50" xfId="0" applyFont="1" applyFill="1" applyBorder="1" applyAlignment="1" applyProtection="1">
      <alignment horizontal="centerContinuous" vertical="center" wrapText="1"/>
      <protection hidden="1"/>
    </xf>
    <xf numFmtId="0" fontId="5" fillId="0" borderId="51" xfId="1" applyFont="1" applyBorder="1" applyAlignment="1" applyProtection="1">
      <alignment vertical="center"/>
      <protection hidden="1"/>
    </xf>
    <xf numFmtId="178" fontId="5" fillId="7" borderId="58" xfId="0" applyNumberFormat="1" applyFont="1" applyFill="1" applyBorder="1" applyAlignment="1" applyProtection="1">
      <alignment horizontal="center" vertical="center" wrapText="1"/>
      <protection hidden="1"/>
    </xf>
    <xf numFmtId="178" fontId="5" fillId="7" borderId="53" xfId="0" applyNumberFormat="1" applyFont="1" applyFill="1" applyBorder="1" applyAlignment="1" applyProtection="1">
      <alignment horizontal="center" vertical="center" wrapText="1"/>
      <protection hidden="1"/>
    </xf>
    <xf numFmtId="0" fontId="5" fillId="7" borderId="59" xfId="0" applyFont="1" applyFill="1" applyBorder="1" applyAlignment="1" applyProtection="1">
      <alignment horizontal="center" vertical="center"/>
      <protection hidden="1"/>
    </xf>
    <xf numFmtId="0" fontId="5" fillId="7" borderId="60" xfId="0" applyFont="1" applyFill="1" applyBorder="1" applyAlignment="1" applyProtection="1">
      <alignment horizontal="center" vertical="center"/>
      <protection hidden="1"/>
    </xf>
    <xf numFmtId="0" fontId="5" fillId="7" borderId="61" xfId="0" applyFont="1" applyFill="1" applyBorder="1" applyAlignment="1" applyProtection="1">
      <alignment horizontal="center" vertical="center"/>
      <protection hidden="1"/>
    </xf>
    <xf numFmtId="49" fontId="5" fillId="7" borderId="58" xfId="0" applyNumberFormat="1" applyFont="1" applyFill="1" applyBorder="1" applyAlignment="1" applyProtection="1">
      <alignment horizontal="center" vertical="center"/>
      <protection hidden="1"/>
    </xf>
    <xf numFmtId="49" fontId="5" fillId="7" borderId="62" xfId="0" applyNumberFormat="1" applyFont="1" applyFill="1" applyBorder="1" applyAlignment="1" applyProtection="1">
      <alignment horizontal="center" vertical="center" wrapText="1"/>
      <protection hidden="1"/>
    </xf>
    <xf numFmtId="49" fontId="5" fillId="7" borderId="62" xfId="0" quotePrefix="1" applyNumberFormat="1" applyFont="1" applyFill="1" applyBorder="1" applyAlignment="1" applyProtection="1">
      <alignment horizontal="center" vertical="center"/>
      <protection hidden="1"/>
    </xf>
    <xf numFmtId="49" fontId="5" fillId="7" borderId="63" xfId="0" applyNumberFormat="1" applyFont="1" applyFill="1" applyBorder="1" applyAlignment="1" applyProtection="1">
      <alignment horizontal="center" vertical="center"/>
      <protection hidden="1"/>
    </xf>
    <xf numFmtId="49" fontId="5" fillId="7" borderId="63" xfId="0" applyNumberFormat="1" applyFont="1" applyFill="1" applyBorder="1" applyAlignment="1" applyProtection="1">
      <alignment horizontal="center" vertical="center" wrapText="1"/>
      <protection hidden="1"/>
    </xf>
    <xf numFmtId="49" fontId="5" fillId="7" borderId="64" xfId="0" applyNumberFormat="1" applyFont="1" applyFill="1" applyBorder="1" applyAlignment="1" applyProtection="1">
      <alignment horizontal="center" vertical="center" wrapText="1"/>
      <protection hidden="1"/>
    </xf>
    <xf numFmtId="0" fontId="5" fillId="7" borderId="65" xfId="0" applyFont="1" applyFill="1" applyBorder="1" applyAlignment="1" applyProtection="1">
      <alignment horizontal="center" vertical="center" wrapText="1"/>
      <protection hidden="1"/>
    </xf>
    <xf numFmtId="0" fontId="5" fillId="7" borderId="66" xfId="0" applyFont="1" applyFill="1" applyBorder="1" applyAlignment="1" applyProtection="1">
      <alignment horizontal="center" vertical="center" wrapText="1"/>
      <protection hidden="1"/>
    </xf>
    <xf numFmtId="0" fontId="5" fillId="7" borderId="67" xfId="0" applyFont="1" applyFill="1" applyBorder="1" applyAlignment="1" applyProtection="1">
      <alignment horizontal="center" vertical="center" wrapText="1"/>
      <protection hidden="1"/>
    </xf>
    <xf numFmtId="0" fontId="5" fillId="7" borderId="58" xfId="0" applyFont="1" applyFill="1" applyBorder="1" applyAlignment="1" applyProtection="1">
      <alignment horizontal="center" vertical="center" wrapText="1"/>
      <protection hidden="1"/>
    </xf>
    <xf numFmtId="0" fontId="5" fillId="7" borderId="53" xfId="0" applyFont="1" applyFill="1" applyBorder="1" applyAlignment="1" applyProtection="1">
      <alignment horizontal="center" vertical="center" wrapText="1"/>
      <protection hidden="1"/>
    </xf>
    <xf numFmtId="0" fontId="5" fillId="7" borderId="68" xfId="0" applyFont="1" applyFill="1" applyBorder="1" applyAlignment="1" applyProtection="1">
      <alignment horizontal="center" vertical="center" wrapText="1"/>
      <protection hidden="1"/>
    </xf>
    <xf numFmtId="0" fontId="5" fillId="7" borderId="64" xfId="0" applyFont="1" applyFill="1" applyBorder="1" applyAlignment="1" applyProtection="1">
      <alignment horizontal="center" vertical="center" wrapText="1"/>
      <protection hidden="1"/>
    </xf>
    <xf numFmtId="0" fontId="5" fillId="7" borderId="71" xfId="0" applyFont="1" applyFill="1" applyBorder="1" applyAlignment="1" applyProtection="1">
      <alignment horizontal="center" vertical="center"/>
      <protection hidden="1"/>
    </xf>
    <xf numFmtId="0" fontId="5" fillId="7" borderId="70" xfId="0" applyFont="1" applyFill="1" applyBorder="1" applyAlignment="1" applyProtection="1">
      <alignment horizontal="center" vertical="center"/>
      <protection hidden="1"/>
    </xf>
    <xf numFmtId="0" fontId="5" fillId="7" borderId="74" xfId="0" applyFont="1" applyFill="1" applyBorder="1" applyAlignment="1" applyProtection="1">
      <alignment horizontal="center" vertical="center" wrapText="1"/>
      <protection hidden="1"/>
    </xf>
    <xf numFmtId="0" fontId="5" fillId="7" borderId="62" xfId="0" applyFont="1" applyFill="1" applyBorder="1" applyAlignment="1" applyProtection="1">
      <alignment horizontal="center" vertical="center"/>
      <protection hidden="1"/>
    </xf>
    <xf numFmtId="0" fontId="5" fillId="7" borderId="53" xfId="0" applyFont="1" applyFill="1" applyBorder="1" applyAlignment="1" applyProtection="1">
      <alignment horizontal="center" vertical="center"/>
      <protection hidden="1"/>
    </xf>
    <xf numFmtId="0" fontId="5" fillId="7" borderId="75" xfId="0" applyFont="1" applyFill="1" applyBorder="1" applyAlignment="1" applyProtection="1">
      <alignment horizontal="center" vertical="center"/>
      <protection hidden="1"/>
    </xf>
    <xf numFmtId="176" fontId="5" fillId="7" borderId="76" xfId="1" applyNumberFormat="1" applyFont="1" applyFill="1" applyBorder="1" applyAlignment="1" applyProtection="1">
      <alignment vertical="center"/>
      <protection hidden="1"/>
    </xf>
    <xf numFmtId="177" fontId="5" fillId="7" borderId="77" xfId="1" applyNumberFormat="1" applyFont="1" applyFill="1" applyBorder="1" applyAlignment="1" applyProtection="1">
      <alignment vertical="center"/>
      <protection hidden="1"/>
    </xf>
    <xf numFmtId="0" fontId="5" fillId="0" borderId="8" xfId="1" applyNumberFormat="1" applyFont="1" applyBorder="1" applyAlignment="1" applyProtection="1">
      <alignment horizontal="center" vertical="center"/>
      <protection hidden="1"/>
    </xf>
    <xf numFmtId="178" fontId="21" fillId="0" borderId="78" xfId="0" applyNumberFormat="1" applyFont="1" applyBorder="1" applyAlignment="1" applyProtection="1">
      <alignment horizontal="center" vertical="center"/>
      <protection hidden="1"/>
    </xf>
    <xf numFmtId="184" fontId="5" fillId="0" borderId="79" xfId="1" applyNumberFormat="1" applyFont="1" applyFill="1" applyBorder="1" applyAlignment="1" applyProtection="1">
      <alignment horizontal="center" vertical="center"/>
      <protection hidden="1"/>
    </xf>
    <xf numFmtId="184" fontId="5" fillId="0" borderId="80" xfId="1" applyNumberFormat="1" applyFont="1" applyFill="1" applyBorder="1" applyAlignment="1" applyProtection="1">
      <alignment horizontal="center" vertical="center"/>
      <protection hidden="1"/>
    </xf>
    <xf numFmtId="49" fontId="5" fillId="13" borderId="81" xfId="1" applyNumberFormat="1" applyFont="1" applyFill="1" applyBorder="1" applyAlignment="1" applyProtection="1">
      <alignment horizontal="center" vertical="center" shrinkToFit="1"/>
    </xf>
    <xf numFmtId="49" fontId="5" fillId="13" borderId="82" xfId="1" applyNumberFormat="1" applyFont="1" applyFill="1" applyBorder="1" applyAlignment="1" applyProtection="1">
      <alignment horizontal="center" vertical="center" shrinkToFit="1"/>
    </xf>
    <xf numFmtId="178" fontId="5" fillId="7" borderId="79" xfId="1" applyNumberFormat="1" applyFont="1" applyFill="1" applyBorder="1" applyAlignment="1" applyProtection="1">
      <alignment horizontal="center" vertical="center" shrinkToFit="1"/>
      <protection hidden="1"/>
    </xf>
    <xf numFmtId="178" fontId="5" fillId="7" borderId="35" xfId="1" applyNumberFormat="1" applyFont="1" applyFill="1" applyBorder="1" applyAlignment="1" applyProtection="1">
      <alignment horizontal="center" vertical="center" shrinkToFit="1"/>
      <protection hidden="1"/>
    </xf>
    <xf numFmtId="185" fontId="5" fillId="7" borderId="80" xfId="0" applyNumberFormat="1" applyFont="1" applyFill="1" applyBorder="1" applyAlignment="1" applyProtection="1">
      <alignment horizontal="center" vertical="center" shrinkToFit="1"/>
      <protection hidden="1"/>
    </xf>
    <xf numFmtId="186" fontId="22" fillId="0" borderId="81" xfId="0" applyNumberFormat="1" applyFont="1" applyFill="1" applyBorder="1" applyAlignment="1" applyProtection="1">
      <alignment vertical="center"/>
      <protection hidden="1"/>
    </xf>
    <xf numFmtId="186" fontId="22" fillId="0" borderId="83" xfId="0" applyNumberFormat="1" applyFont="1" applyFill="1" applyBorder="1" applyAlignment="1" applyProtection="1">
      <alignment vertical="center"/>
      <protection hidden="1"/>
    </xf>
    <xf numFmtId="186" fontId="22" fillId="0" borderId="84" xfId="0" applyNumberFormat="1" applyFont="1" applyFill="1" applyBorder="1" applyAlignment="1" applyProtection="1">
      <alignment vertical="center"/>
      <protection hidden="1"/>
    </xf>
    <xf numFmtId="186" fontId="22" fillId="0" borderId="85" xfId="0" applyNumberFormat="1" applyFont="1" applyFill="1" applyBorder="1" applyAlignment="1" applyProtection="1">
      <alignment vertical="center"/>
      <protection hidden="1"/>
    </xf>
    <xf numFmtId="186" fontId="22" fillId="0" borderId="80" xfId="0" applyNumberFormat="1" applyFont="1" applyFill="1" applyBorder="1" applyAlignment="1" applyProtection="1">
      <alignment vertical="center"/>
      <protection hidden="1"/>
    </xf>
    <xf numFmtId="187" fontId="22" fillId="0" borderId="86" xfId="0" applyNumberFormat="1" applyFont="1" applyFill="1" applyBorder="1" applyAlignment="1" applyProtection="1">
      <alignment vertical="center"/>
      <protection hidden="1"/>
    </xf>
    <xf numFmtId="187" fontId="22" fillId="0" borderId="87" xfId="0" applyNumberFormat="1" applyFont="1" applyFill="1" applyBorder="1" applyAlignment="1" applyProtection="1">
      <alignment vertical="center"/>
      <protection hidden="1"/>
    </xf>
    <xf numFmtId="187" fontId="22" fillId="0" borderId="34" xfId="0" applyNumberFormat="1" applyFont="1" applyFill="1" applyBorder="1" applyAlignment="1" applyProtection="1">
      <alignment vertical="center"/>
      <protection hidden="1"/>
    </xf>
    <xf numFmtId="182" fontId="22" fillId="13" borderId="88" xfId="0" applyNumberFormat="1" applyFont="1" applyFill="1" applyBorder="1" applyAlignment="1" applyProtection="1">
      <alignment horizontal="center" vertical="center"/>
      <protection locked="0"/>
    </xf>
    <xf numFmtId="182" fontId="22" fillId="13" borderId="47" xfId="0" applyNumberFormat="1" applyFont="1" applyFill="1" applyBorder="1" applyAlignment="1" applyProtection="1">
      <alignment horizontal="center" vertical="center"/>
      <protection locked="0"/>
    </xf>
    <xf numFmtId="182" fontId="22" fillId="13" borderId="89" xfId="0" applyNumberFormat="1" applyFont="1" applyFill="1" applyBorder="1" applyAlignment="1" applyProtection="1">
      <alignment horizontal="center" vertical="center"/>
      <protection locked="0"/>
    </xf>
    <xf numFmtId="182" fontId="22" fillId="13" borderId="82" xfId="0" applyNumberFormat="1" applyFont="1" applyFill="1" applyBorder="1" applyAlignment="1" applyProtection="1">
      <alignment horizontal="center" vertical="center"/>
      <protection locked="0"/>
    </xf>
    <xf numFmtId="182" fontId="22" fillId="13" borderId="80" xfId="0" applyNumberFormat="1" applyFont="1" applyFill="1" applyBorder="1" applyAlignment="1" applyProtection="1">
      <alignment horizontal="center" vertical="center"/>
      <protection locked="0"/>
    </xf>
    <xf numFmtId="49" fontId="5" fillId="13" borderId="90" xfId="0" applyNumberFormat="1" applyFont="1" applyFill="1" applyBorder="1" applyAlignment="1" applyProtection="1">
      <alignment vertical="center" shrinkToFit="1"/>
      <protection locked="0"/>
    </xf>
    <xf numFmtId="49" fontId="0" fillId="13" borderId="86" xfId="0" applyNumberFormat="1" applyFill="1" applyBorder="1" applyAlignment="1" applyProtection="1">
      <alignment vertical="center" shrinkToFit="1"/>
      <protection locked="0"/>
    </xf>
    <xf numFmtId="188" fontId="5" fillId="13" borderId="34" xfId="0" applyNumberFormat="1" applyFont="1" applyFill="1" applyBorder="1" applyAlignment="1" applyProtection="1">
      <alignment vertical="center" shrinkToFit="1"/>
      <protection locked="0"/>
    </xf>
    <xf numFmtId="49" fontId="5" fillId="13" borderId="87" xfId="0" applyNumberFormat="1" applyFont="1" applyFill="1" applyBorder="1" applyAlignment="1" applyProtection="1">
      <alignment horizontal="center" vertical="center"/>
      <protection locked="0" hidden="1"/>
    </xf>
    <xf numFmtId="0" fontId="0" fillId="13" borderId="34" xfId="0" applyNumberFormat="1" applyFill="1" applyBorder="1" applyAlignment="1" applyProtection="1">
      <alignment horizontal="center" vertical="center"/>
      <protection locked="0" hidden="1"/>
    </xf>
    <xf numFmtId="189" fontId="5" fillId="13" borderId="46" xfId="0" applyNumberFormat="1" applyFont="1" applyFill="1" applyBorder="1" applyAlignment="1" applyProtection="1">
      <alignment horizontal="center" vertical="center"/>
      <protection locked="0" hidden="1"/>
    </xf>
    <xf numFmtId="184" fontId="5" fillId="13" borderId="79" xfId="0" applyNumberFormat="1" applyFont="1" applyFill="1" applyBorder="1" applyAlignment="1" applyProtection="1">
      <alignment horizontal="center" vertical="center"/>
      <protection locked="0"/>
    </xf>
    <xf numFmtId="184" fontId="5" fillId="13" borderId="9" xfId="0" applyNumberFormat="1" applyFont="1" applyFill="1" applyBorder="1" applyAlignment="1" applyProtection="1">
      <alignment horizontal="center" vertical="center"/>
      <protection locked="0"/>
    </xf>
    <xf numFmtId="185" fontId="5" fillId="0" borderId="46" xfId="0" applyNumberFormat="1" applyFont="1" applyFill="1" applyBorder="1" applyAlignment="1" applyProtection="1">
      <alignment vertical="center"/>
      <protection hidden="1"/>
    </xf>
    <xf numFmtId="185" fontId="5" fillId="0" borderId="46" xfId="0" applyNumberFormat="1" applyFont="1" applyBorder="1" applyAlignment="1" applyProtection="1">
      <alignment vertical="center"/>
      <protection hidden="1"/>
    </xf>
    <xf numFmtId="49" fontId="5" fillId="13" borderId="91" xfId="0" applyNumberFormat="1" applyFont="1" applyFill="1" applyBorder="1" applyAlignment="1" applyProtection="1">
      <alignment horizontal="center" vertical="center"/>
      <protection locked="0"/>
    </xf>
    <xf numFmtId="49" fontId="5" fillId="13" borderId="83" xfId="0" applyNumberFormat="1" applyFont="1" applyFill="1" applyBorder="1" applyAlignment="1" applyProtection="1">
      <alignment horizontal="center" vertical="center"/>
      <protection locked="0"/>
    </xf>
    <xf numFmtId="190" fontId="5" fillId="13" borderId="77" xfId="0" applyNumberFormat="1" applyFont="1" applyFill="1" applyBorder="1" applyAlignment="1" applyProtection="1">
      <alignment vertical="center"/>
      <protection locked="0"/>
    </xf>
    <xf numFmtId="49" fontId="5" fillId="13" borderId="79" xfId="0" applyNumberFormat="1" applyFont="1" applyFill="1" applyBorder="1" applyAlignment="1" applyProtection="1">
      <alignment horizontal="center" vertical="center"/>
      <protection locked="0"/>
    </xf>
    <xf numFmtId="49" fontId="5" fillId="13" borderId="89" xfId="0" applyNumberFormat="1" applyFont="1" applyFill="1" applyBorder="1" applyAlignment="1" applyProtection="1">
      <alignment horizontal="center" vertical="center"/>
      <protection locked="0"/>
    </xf>
    <xf numFmtId="49" fontId="5" fillId="0" borderId="0" xfId="1" applyNumberFormat="1" applyFont="1" applyAlignment="1" applyProtection="1">
      <alignment vertical="center"/>
      <protection hidden="1"/>
    </xf>
    <xf numFmtId="184" fontId="5" fillId="0" borderId="91" xfId="1" applyNumberFormat="1" applyFont="1" applyFill="1" applyBorder="1" applyAlignment="1" applyProtection="1">
      <alignment horizontal="center" vertical="center"/>
      <protection hidden="1"/>
    </xf>
    <xf numFmtId="184" fontId="5" fillId="0" borderId="92" xfId="1" applyNumberFormat="1" applyFont="1" applyFill="1" applyBorder="1" applyAlignment="1" applyProtection="1">
      <alignment horizontal="center" vertical="center"/>
      <protection hidden="1"/>
    </xf>
    <xf numFmtId="49" fontId="5" fillId="13" borderId="77" xfId="1" applyNumberFormat="1" applyFont="1" applyFill="1" applyBorder="1" applyAlignment="1" applyProtection="1">
      <alignment horizontal="center" vertical="center" shrinkToFit="1"/>
    </xf>
    <xf numFmtId="178" fontId="5" fillId="7" borderId="91" xfId="1" applyNumberFormat="1" applyFont="1" applyFill="1" applyBorder="1" applyAlignment="1" applyProtection="1">
      <alignment horizontal="center" vertical="center" shrinkToFit="1"/>
      <protection hidden="1"/>
    </xf>
    <xf numFmtId="178" fontId="5" fillId="7" borderId="18" xfId="1" applyNumberFormat="1" applyFont="1" applyFill="1" applyBorder="1" applyAlignment="1" applyProtection="1">
      <alignment horizontal="center" vertical="center" shrinkToFit="1"/>
      <protection hidden="1"/>
    </xf>
    <xf numFmtId="185" fontId="5" fillId="0" borderId="92" xfId="0" applyNumberFormat="1" applyFont="1" applyFill="1" applyBorder="1" applyAlignment="1" applyProtection="1">
      <alignment horizontal="center" vertical="center" shrinkToFit="1"/>
      <protection hidden="1"/>
    </xf>
    <xf numFmtId="186" fontId="22" fillId="0" borderId="93" xfId="0" applyNumberFormat="1" applyFont="1" applyFill="1" applyBorder="1" applyAlignment="1" applyProtection="1">
      <alignment vertical="center"/>
      <protection hidden="1"/>
    </xf>
    <xf numFmtId="186" fontId="22" fillId="0" borderId="92" xfId="0" applyNumberFormat="1" applyFont="1" applyFill="1" applyBorder="1" applyAlignment="1" applyProtection="1">
      <alignment vertical="center"/>
      <protection hidden="1"/>
    </xf>
    <xf numFmtId="187" fontId="22" fillId="0" borderId="94" xfId="0" applyNumberFormat="1" applyFont="1" applyFill="1" applyBorder="1" applyAlignment="1" applyProtection="1">
      <alignment vertical="center"/>
      <protection hidden="1"/>
    </xf>
    <xf numFmtId="187" fontId="22" fillId="0" borderId="7" xfId="0" applyNumberFormat="1" applyFont="1" applyFill="1" applyBorder="1" applyAlignment="1" applyProtection="1">
      <alignment vertical="center"/>
      <protection hidden="1"/>
    </xf>
    <xf numFmtId="187" fontId="22" fillId="0" borderId="8" xfId="0" applyNumberFormat="1" applyFont="1" applyFill="1" applyBorder="1" applyAlignment="1" applyProtection="1">
      <alignment vertical="center"/>
      <protection hidden="1"/>
    </xf>
    <xf numFmtId="182" fontId="22" fillId="13" borderId="81" xfId="0" applyNumberFormat="1" applyFont="1" applyFill="1" applyBorder="1" applyAlignment="1" applyProtection="1">
      <alignment horizontal="center" vertical="center"/>
      <protection locked="0"/>
    </xf>
    <xf numFmtId="182" fontId="22" fillId="13" borderId="77" xfId="0" applyNumberFormat="1" applyFont="1" applyFill="1" applyBorder="1" applyAlignment="1" applyProtection="1">
      <alignment horizontal="center" vertical="center"/>
      <protection locked="0"/>
    </xf>
    <xf numFmtId="182" fontId="22" fillId="13" borderId="95" xfId="0" applyNumberFormat="1" applyFont="1" applyFill="1" applyBorder="1" applyAlignment="1" applyProtection="1">
      <alignment horizontal="center" vertical="center"/>
      <protection locked="0"/>
    </xf>
    <xf numFmtId="182" fontId="22" fillId="13" borderId="92" xfId="0" applyNumberFormat="1" applyFont="1" applyFill="1" applyBorder="1" applyAlignment="1" applyProtection="1">
      <alignment horizontal="center" vertical="center"/>
      <protection locked="0"/>
    </xf>
    <xf numFmtId="49" fontId="5" fillId="13" borderId="96" xfId="0" applyNumberFormat="1" applyFont="1" applyFill="1" applyBorder="1" applyAlignment="1" applyProtection="1">
      <alignment vertical="center" shrinkToFit="1"/>
      <protection locked="0"/>
    </xf>
    <xf numFmtId="49" fontId="0" fillId="13" borderId="94" xfId="0" applyNumberFormat="1" applyFill="1" applyBorder="1" applyAlignment="1" applyProtection="1">
      <alignment vertical="center" shrinkToFit="1"/>
      <protection locked="0"/>
    </xf>
    <xf numFmtId="188" fontId="5" fillId="13" borderId="8" xfId="0" applyNumberFormat="1" applyFont="1" applyFill="1" applyBorder="1" applyAlignment="1" applyProtection="1">
      <alignment vertical="center" shrinkToFit="1"/>
      <protection locked="0"/>
    </xf>
    <xf numFmtId="49" fontId="5" fillId="13" borderId="7" xfId="0" applyNumberFormat="1" applyFont="1" applyFill="1" applyBorder="1" applyAlignment="1" applyProtection="1">
      <alignment horizontal="center" vertical="center"/>
      <protection locked="0" hidden="1"/>
    </xf>
    <xf numFmtId="49" fontId="5" fillId="13" borderId="8" xfId="0" applyNumberFormat="1" applyFont="1" applyFill="1" applyBorder="1" applyAlignment="1" applyProtection="1">
      <alignment horizontal="center" vertical="center"/>
      <protection locked="0" hidden="1"/>
    </xf>
    <xf numFmtId="189" fontId="5" fillId="13" borderId="7" xfId="0" applyNumberFormat="1" applyFont="1" applyFill="1" applyBorder="1" applyAlignment="1" applyProtection="1">
      <alignment horizontal="center" vertical="center"/>
      <protection locked="0" hidden="1"/>
    </xf>
    <xf numFmtId="184" fontId="5" fillId="13" borderId="91" xfId="0" applyNumberFormat="1" applyFont="1" applyFill="1" applyBorder="1" applyAlignment="1" applyProtection="1">
      <alignment horizontal="center" vertical="center"/>
      <protection locked="0"/>
    </xf>
    <xf numFmtId="185" fontId="5" fillId="0" borderId="7" xfId="0" applyNumberFormat="1" applyFont="1" applyFill="1" applyBorder="1" applyAlignment="1" applyProtection="1">
      <alignment vertical="center"/>
      <protection hidden="1"/>
    </xf>
    <xf numFmtId="185" fontId="5" fillId="0" borderId="7" xfId="0" applyNumberFormat="1" applyFont="1" applyBorder="1" applyAlignment="1" applyProtection="1">
      <alignment vertical="center"/>
      <protection hidden="1"/>
    </xf>
    <xf numFmtId="0" fontId="5" fillId="7" borderId="91" xfId="1" applyNumberFormat="1" applyFont="1" applyFill="1" applyBorder="1" applyAlignment="1" applyProtection="1">
      <alignment horizontal="center" vertical="center" shrinkToFit="1"/>
      <protection hidden="1"/>
    </xf>
    <xf numFmtId="0" fontId="5" fillId="7" borderId="18" xfId="1" applyNumberFormat="1" applyFont="1" applyFill="1" applyBorder="1" applyAlignment="1" applyProtection="1">
      <alignment horizontal="center" vertical="center" shrinkToFit="1"/>
      <protection hidden="1"/>
    </xf>
    <xf numFmtId="185" fontId="5" fillId="7" borderId="92" xfId="0" applyNumberFormat="1" applyFont="1" applyFill="1" applyBorder="1" applyAlignment="1" applyProtection="1">
      <alignment horizontal="center" vertical="center" shrinkToFit="1"/>
      <protection hidden="1"/>
    </xf>
    <xf numFmtId="49" fontId="5" fillId="13" borderId="96" xfId="0" applyNumberFormat="1" applyFont="1" applyFill="1" applyBorder="1" applyAlignment="1" applyProtection="1">
      <alignment vertical="center" wrapText="1" shrinkToFit="1"/>
      <protection locked="0"/>
    </xf>
    <xf numFmtId="49" fontId="0" fillId="13" borderId="94" xfId="0" applyNumberFormat="1" applyFill="1" applyBorder="1" applyAlignment="1" applyProtection="1">
      <alignment vertical="center" wrapText="1" shrinkToFit="1"/>
      <protection locked="0"/>
    </xf>
    <xf numFmtId="49" fontId="5" fillId="13" borderId="95" xfId="0" applyNumberFormat="1" applyFont="1" applyFill="1" applyBorder="1" applyAlignment="1" applyProtection="1">
      <alignment horizontal="center" vertical="center"/>
      <protection locked="0"/>
    </xf>
    <xf numFmtId="49" fontId="5" fillId="13" borderId="94" xfId="0" applyNumberFormat="1" applyFont="1" applyFill="1" applyBorder="1" applyAlignment="1" applyProtection="1">
      <alignment vertical="center" wrapText="1" shrinkToFit="1"/>
      <protection locked="0"/>
    </xf>
    <xf numFmtId="49" fontId="5" fillId="13" borderId="94" xfId="0" applyNumberFormat="1" applyFont="1" applyFill="1" applyBorder="1" applyAlignment="1" applyProtection="1">
      <alignment vertical="center" shrinkToFit="1"/>
      <protection locked="0"/>
    </xf>
    <xf numFmtId="191" fontId="5" fillId="13" borderId="91" xfId="0" applyNumberFormat="1" applyFont="1" applyFill="1" applyBorder="1" applyAlignment="1" applyProtection="1">
      <alignment horizontal="center" vertical="center"/>
      <protection locked="0"/>
    </xf>
    <xf numFmtId="191" fontId="5" fillId="13" borderId="9" xfId="0" applyNumberFormat="1" applyFont="1" applyFill="1" applyBorder="1" applyAlignment="1" applyProtection="1">
      <alignment horizontal="center" vertical="center"/>
      <protection locked="0"/>
    </xf>
    <xf numFmtId="184" fontId="5" fillId="0" borderId="97" xfId="1" applyNumberFormat="1" applyFont="1" applyFill="1" applyBorder="1" applyAlignment="1" applyProtection="1">
      <alignment horizontal="center" vertical="center"/>
      <protection hidden="1"/>
    </xf>
    <xf numFmtId="184" fontId="5" fillId="0" borderId="98" xfId="1" applyNumberFormat="1" applyFont="1" applyFill="1" applyBorder="1" applyAlignment="1" applyProtection="1">
      <alignment horizontal="center" vertical="center"/>
      <protection hidden="1"/>
    </xf>
    <xf numFmtId="49" fontId="5" fillId="13" borderId="99" xfId="1" applyNumberFormat="1" applyFont="1" applyFill="1" applyBorder="1" applyAlignment="1" applyProtection="1">
      <alignment horizontal="center" vertical="center" shrinkToFit="1"/>
    </xf>
    <xf numFmtId="178" fontId="5" fillId="7" borderId="100" xfId="1" applyNumberFormat="1" applyFont="1" applyFill="1" applyBorder="1" applyAlignment="1" applyProtection="1">
      <alignment horizontal="center" vertical="center" shrinkToFit="1"/>
      <protection hidden="1"/>
    </xf>
    <xf numFmtId="178" fontId="5" fillId="7" borderId="101" xfId="1" applyNumberFormat="1" applyFont="1" applyFill="1" applyBorder="1" applyAlignment="1" applyProtection="1">
      <alignment horizontal="center" vertical="center" shrinkToFit="1"/>
      <protection hidden="1"/>
    </xf>
    <xf numFmtId="185" fontId="5" fillId="7" borderId="98" xfId="0" applyNumberFormat="1" applyFont="1" applyFill="1" applyBorder="1" applyAlignment="1" applyProtection="1">
      <alignment horizontal="center" vertical="center" shrinkToFit="1"/>
      <protection hidden="1"/>
    </xf>
    <xf numFmtId="186" fontId="22" fillId="0" borderId="102" xfId="0" applyNumberFormat="1" applyFont="1" applyFill="1" applyBorder="1" applyAlignment="1" applyProtection="1">
      <alignment vertical="center"/>
      <protection hidden="1"/>
    </xf>
    <xf numFmtId="186" fontId="22" fillId="0" borderId="103" xfId="0" applyNumberFormat="1" applyFont="1" applyFill="1" applyBorder="1" applyAlignment="1" applyProtection="1">
      <alignment vertical="center"/>
      <protection hidden="1"/>
    </xf>
    <xf numFmtId="186" fontId="22" fillId="0" borderId="104" xfId="0" applyNumberFormat="1" applyFont="1" applyFill="1" applyBorder="1" applyAlignment="1" applyProtection="1">
      <alignment vertical="center"/>
      <protection hidden="1"/>
    </xf>
    <xf numFmtId="186" fontId="22" fillId="0" borderId="98" xfId="0" applyNumberFormat="1" applyFont="1" applyFill="1" applyBorder="1" applyAlignment="1" applyProtection="1">
      <alignment vertical="center"/>
      <protection hidden="1"/>
    </xf>
    <xf numFmtId="187" fontId="22" fillId="0" borderId="105" xfId="0" applyNumberFormat="1" applyFont="1" applyFill="1" applyBorder="1" applyAlignment="1" applyProtection="1">
      <alignment vertical="center"/>
      <protection hidden="1"/>
    </xf>
    <xf numFmtId="187" fontId="22" fillId="0" borderId="71" xfId="0" applyNumberFormat="1" applyFont="1" applyFill="1" applyBorder="1" applyAlignment="1" applyProtection="1">
      <alignment vertical="center"/>
      <protection hidden="1"/>
    </xf>
    <xf numFmtId="182" fontId="22" fillId="13" borderId="102" xfId="0" applyNumberFormat="1" applyFont="1" applyFill="1" applyBorder="1" applyAlignment="1" applyProtection="1">
      <alignment horizontal="center" vertical="center"/>
      <protection locked="0"/>
    </xf>
    <xf numFmtId="182" fontId="22" fillId="13" borderId="99" xfId="0" applyNumberFormat="1" applyFont="1" applyFill="1" applyBorder="1" applyAlignment="1" applyProtection="1">
      <alignment horizontal="center" vertical="center"/>
      <protection locked="0"/>
    </xf>
    <xf numFmtId="182" fontId="22" fillId="13" borderId="106" xfId="0" applyNumberFormat="1" applyFont="1" applyFill="1" applyBorder="1" applyAlignment="1" applyProtection="1">
      <alignment horizontal="center" vertical="center"/>
      <protection locked="0"/>
    </xf>
    <xf numFmtId="182" fontId="22" fillId="13" borderId="98" xfId="0" applyNumberFormat="1" applyFont="1" applyFill="1" applyBorder="1" applyAlignment="1" applyProtection="1">
      <alignment horizontal="center" vertical="center"/>
      <protection locked="0"/>
    </xf>
    <xf numFmtId="49" fontId="5" fillId="13" borderId="107" xfId="0" applyNumberFormat="1" applyFont="1" applyFill="1" applyBorder="1" applyAlignment="1" applyProtection="1">
      <alignment vertical="center" shrinkToFit="1"/>
      <protection locked="0"/>
    </xf>
    <xf numFmtId="49" fontId="5" fillId="13" borderId="105" xfId="0" applyNumberFormat="1" applyFont="1" applyFill="1" applyBorder="1" applyAlignment="1" applyProtection="1">
      <alignment vertical="center" shrinkToFit="1"/>
      <protection locked="0"/>
    </xf>
    <xf numFmtId="188" fontId="5" fillId="13" borderId="60" xfId="0" applyNumberFormat="1" applyFont="1" applyFill="1" applyBorder="1" applyAlignment="1" applyProtection="1">
      <alignment vertical="center" shrinkToFit="1"/>
      <protection locked="0"/>
    </xf>
    <xf numFmtId="49" fontId="5" fillId="13" borderId="71" xfId="0" applyNumberFormat="1" applyFont="1" applyFill="1" applyBorder="1" applyAlignment="1" applyProtection="1">
      <alignment horizontal="center" vertical="center"/>
      <protection locked="0" hidden="1"/>
    </xf>
    <xf numFmtId="49" fontId="5" fillId="13" borderId="60" xfId="0" applyNumberFormat="1" applyFont="1" applyFill="1" applyBorder="1" applyAlignment="1" applyProtection="1">
      <alignment horizontal="center" vertical="center"/>
      <protection locked="0" hidden="1"/>
    </xf>
    <xf numFmtId="189" fontId="5" fillId="13" borderId="71" xfId="0" applyNumberFormat="1" applyFont="1" applyFill="1" applyBorder="1" applyAlignment="1" applyProtection="1">
      <alignment horizontal="center" vertical="center"/>
      <protection locked="0" hidden="1"/>
    </xf>
    <xf numFmtId="191" fontId="5" fillId="13" borderId="100" xfId="0" applyNumberFormat="1" applyFont="1" applyFill="1" applyBorder="1" applyAlignment="1" applyProtection="1">
      <alignment horizontal="center" vertical="center"/>
      <protection locked="0"/>
    </xf>
    <xf numFmtId="185" fontId="5" fillId="0" borderId="71" xfId="0" applyNumberFormat="1" applyFont="1" applyFill="1" applyBorder="1" applyAlignment="1" applyProtection="1">
      <alignment vertical="center"/>
      <protection hidden="1"/>
    </xf>
    <xf numFmtId="185" fontId="5" fillId="0" borderId="71" xfId="0" applyNumberFormat="1" applyFont="1" applyBorder="1" applyAlignment="1" applyProtection="1">
      <alignment vertical="center"/>
      <protection hidden="1"/>
    </xf>
    <xf numFmtId="49" fontId="5" fillId="13" borderId="100" xfId="0" applyNumberFormat="1" applyFont="1" applyFill="1" applyBorder="1" applyAlignment="1" applyProtection="1">
      <alignment horizontal="center" vertical="center"/>
      <protection locked="0"/>
    </xf>
    <xf numFmtId="49" fontId="5" fillId="13" borderId="103" xfId="0" applyNumberFormat="1" applyFont="1" applyFill="1" applyBorder="1" applyAlignment="1" applyProtection="1">
      <alignment horizontal="center" vertical="center"/>
      <protection locked="0"/>
    </xf>
    <xf numFmtId="49" fontId="5" fillId="13" borderId="106" xfId="0" applyNumberFormat="1" applyFont="1" applyFill="1" applyBorder="1" applyAlignment="1" applyProtection="1">
      <alignment horizontal="center" vertical="center"/>
      <protection locked="0"/>
    </xf>
    <xf numFmtId="0" fontId="5" fillId="0" borderId="108" xfId="1" applyFont="1" applyBorder="1" applyAlignment="1" applyProtection="1">
      <alignment vertical="center"/>
      <protection hidden="1"/>
    </xf>
    <xf numFmtId="0" fontId="5" fillId="0" borderId="109" xfId="1" applyFont="1" applyBorder="1" applyAlignment="1" applyProtection="1">
      <alignment vertical="center"/>
      <protection hidden="1"/>
    </xf>
    <xf numFmtId="0" fontId="5" fillId="0" borderId="1" xfId="1" applyFont="1" applyBorder="1" applyAlignment="1" applyProtection="1">
      <alignment vertical="center"/>
      <protection hidden="1"/>
    </xf>
    <xf numFmtId="0" fontId="5" fillId="0" borderId="2" xfId="1" applyFont="1" applyBorder="1" applyAlignment="1" applyProtection="1">
      <alignment horizontal="right" vertical="center"/>
      <protection hidden="1"/>
    </xf>
    <xf numFmtId="0" fontId="5" fillId="0" borderId="2" xfId="1" applyFont="1" applyBorder="1" applyAlignment="1" applyProtection="1">
      <alignment vertical="center"/>
      <protection hidden="1"/>
    </xf>
    <xf numFmtId="0" fontId="5" fillId="0" borderId="110" xfId="1" applyFont="1" applyBorder="1" applyAlignment="1" applyProtection="1">
      <alignment horizontal="right" vertical="center"/>
      <protection hidden="1"/>
    </xf>
    <xf numFmtId="0" fontId="5" fillId="0" borderId="111" xfId="0" applyFont="1" applyBorder="1" applyAlignment="1" applyProtection="1">
      <alignment horizontal="right" vertical="center"/>
      <protection hidden="1"/>
    </xf>
    <xf numFmtId="187" fontId="5" fillId="0" borderId="112" xfId="0" applyNumberFormat="1" applyFont="1" applyBorder="1" applyAlignment="1" applyProtection="1">
      <alignment vertical="center"/>
      <protection hidden="1"/>
    </xf>
    <xf numFmtId="187" fontId="5" fillId="0" borderId="113" xfId="0" applyNumberFormat="1" applyFont="1" applyBorder="1" applyAlignment="1" applyProtection="1">
      <alignment vertical="center"/>
      <protection hidden="1"/>
    </xf>
    <xf numFmtId="187" fontId="5" fillId="0" borderId="114" xfId="0" applyNumberFormat="1" applyFont="1" applyBorder="1" applyAlignment="1" applyProtection="1">
      <alignment vertical="center"/>
      <protection hidden="1"/>
    </xf>
    <xf numFmtId="187" fontId="5" fillId="0" borderId="115" xfId="0" applyNumberFormat="1" applyFont="1" applyBorder="1" applyAlignment="1" applyProtection="1">
      <alignment vertical="center"/>
      <protection hidden="1"/>
    </xf>
    <xf numFmtId="187" fontId="5" fillId="0" borderId="23" xfId="0" applyNumberFormat="1" applyFont="1" applyBorder="1" applyAlignment="1" applyProtection="1">
      <alignment vertical="center"/>
      <protection hidden="1"/>
    </xf>
    <xf numFmtId="0" fontId="5" fillId="0" borderId="26" xfId="0" applyFont="1" applyBorder="1" applyAlignment="1" applyProtection="1">
      <alignment vertical="center"/>
      <protection hidden="1"/>
    </xf>
    <xf numFmtId="182" fontId="5" fillId="0" borderId="116" xfId="1" applyNumberFormat="1" applyFont="1" applyBorder="1" applyAlignment="1" applyProtection="1">
      <alignment horizontal="center" vertical="center"/>
      <protection hidden="1"/>
    </xf>
    <xf numFmtId="182" fontId="5" fillId="0" borderId="117" xfId="1" applyNumberFormat="1" applyFont="1" applyBorder="1" applyAlignment="1" applyProtection="1">
      <alignment horizontal="center" vertical="center"/>
      <protection hidden="1"/>
    </xf>
    <xf numFmtId="182" fontId="5" fillId="0" borderId="118" xfId="1" applyNumberFormat="1" applyFont="1" applyBorder="1" applyAlignment="1" applyProtection="1">
      <alignment horizontal="center" vertical="center"/>
      <protection hidden="1"/>
    </xf>
    <xf numFmtId="182" fontId="5" fillId="0" borderId="119" xfId="1" applyNumberFormat="1" applyFont="1" applyBorder="1" applyAlignment="1" applyProtection="1">
      <alignment horizontal="center" vertical="center"/>
      <protection hidden="1"/>
    </xf>
    <xf numFmtId="0" fontId="5" fillId="0" borderId="0" xfId="1" applyFont="1" applyBorder="1" applyAlignment="1" applyProtection="1">
      <alignment vertical="center"/>
      <protection hidden="1"/>
    </xf>
    <xf numFmtId="0" fontId="5" fillId="0" borderId="108" xfId="1" applyFont="1" applyBorder="1" applyAlignment="1" applyProtection="1">
      <alignment horizontal="center" vertical="center"/>
      <protection hidden="1"/>
    </xf>
    <xf numFmtId="0" fontId="5" fillId="0" borderId="0" xfId="1" applyFont="1" applyBorder="1" applyAlignment="1" applyProtection="1">
      <alignment horizontal="center" vertical="center"/>
      <protection hidden="1"/>
    </xf>
    <xf numFmtId="0" fontId="23" fillId="0" borderId="0" xfId="0" applyFont="1"/>
    <xf numFmtId="0" fontId="0" fillId="0" borderId="0" xfId="0" applyAlignment="1">
      <alignment horizontal="center"/>
    </xf>
    <xf numFmtId="0" fontId="0" fillId="2" borderId="7" xfId="0" applyFill="1" applyBorder="1" applyAlignment="1">
      <alignment horizontal="center"/>
    </xf>
    <xf numFmtId="0" fontId="0" fillId="0" borderId="0" xfId="0" applyFill="1"/>
    <xf numFmtId="0" fontId="0" fillId="0" borderId="7" xfId="0" applyFill="1" applyBorder="1"/>
    <xf numFmtId="0" fontId="0" fillId="0" borderId="7" xfId="0" applyFill="1" applyBorder="1" applyAlignment="1">
      <alignment horizontal="center"/>
    </xf>
    <xf numFmtId="0" fontId="0" fillId="0" borderId="0" xfId="0" applyFill="1" applyAlignment="1">
      <alignment horizontal="center"/>
    </xf>
    <xf numFmtId="0" fontId="0" fillId="0" borderId="7" xfId="0" applyBorder="1"/>
    <xf numFmtId="0" fontId="0" fillId="0" borderId="7" xfId="0" applyFill="1" applyBorder="1" applyAlignment="1">
      <alignment wrapText="1"/>
    </xf>
    <xf numFmtId="0" fontId="24" fillId="0" borderId="0" xfId="0" applyFont="1"/>
    <xf numFmtId="0" fontId="2" fillId="0" borderId="0" xfId="0" applyFont="1" applyAlignment="1" applyProtection="1">
      <alignment vertical="top"/>
      <protection locked="0"/>
    </xf>
    <xf numFmtId="0" fontId="8" fillId="0" borderId="0" xfId="0" applyFont="1" applyAlignment="1" applyProtection="1">
      <alignment horizontal="right" vertical="top"/>
      <protection locked="0"/>
    </xf>
    <xf numFmtId="0" fontId="2" fillId="14" borderId="7" xfId="0" applyFont="1" applyFill="1" applyBorder="1" applyAlignment="1" applyProtection="1">
      <alignment vertical="top"/>
      <protection locked="0"/>
    </xf>
    <xf numFmtId="0" fontId="2" fillId="5" borderId="7" xfId="0" applyFont="1" applyFill="1" applyBorder="1" applyAlignment="1" applyProtection="1">
      <alignment vertical="top"/>
      <protection locked="0"/>
    </xf>
    <xf numFmtId="0" fontId="25" fillId="2" borderId="7" xfId="0" applyFont="1" applyFill="1" applyBorder="1" applyAlignment="1" applyProtection="1">
      <alignment vertical="top"/>
      <protection locked="0"/>
    </xf>
    <xf numFmtId="0" fontId="2" fillId="0" borderId="7" xfId="0" applyFont="1" applyBorder="1" applyAlignment="1" applyProtection="1">
      <alignment vertical="top"/>
      <protection locked="0"/>
    </xf>
    <xf numFmtId="0" fontId="2" fillId="0" borderId="0" xfId="0" applyFont="1" applyFill="1" applyBorder="1" applyAlignment="1" applyProtection="1">
      <alignment vertical="top"/>
      <protection locked="0"/>
    </xf>
    <xf numFmtId="0" fontId="2" fillId="0" borderId="7" xfId="0" applyFont="1" applyFill="1" applyBorder="1" applyAlignment="1" applyProtection="1">
      <alignment vertical="top"/>
      <protection locked="0"/>
    </xf>
    <xf numFmtId="0" fontId="27" fillId="0" borderId="7" xfId="0" applyFont="1" applyBorder="1" applyAlignment="1" applyProtection="1">
      <alignment vertical="top"/>
      <protection locked="0"/>
    </xf>
    <xf numFmtId="0" fontId="8" fillId="5" borderId="7" xfId="0" applyFont="1" applyFill="1" applyBorder="1" applyAlignment="1" applyProtection="1">
      <alignment horizontal="right" vertical="top"/>
      <protection locked="0"/>
    </xf>
    <xf numFmtId="0" fontId="2" fillId="0" borderId="7" xfId="0" applyFont="1" applyFill="1" applyBorder="1" applyAlignment="1" applyProtection="1">
      <alignment vertical="top" wrapText="1"/>
      <protection locked="0"/>
    </xf>
    <xf numFmtId="0" fontId="2" fillId="5" borderId="7" xfId="0" applyFont="1" applyFill="1" applyBorder="1" applyAlignment="1" applyProtection="1">
      <alignment vertical="top" wrapText="1"/>
      <protection locked="0"/>
    </xf>
    <xf numFmtId="0" fontId="2" fillId="0" borderId="0" xfId="0" applyFont="1" applyFill="1" applyAlignment="1" applyProtection="1">
      <alignment vertical="top"/>
      <protection locked="0"/>
    </xf>
    <xf numFmtId="0" fontId="5" fillId="0" borderId="0" xfId="0" applyFont="1" applyProtection="1">
      <protection locked="0"/>
    </xf>
    <xf numFmtId="0" fontId="2" fillId="2" borderId="7" xfId="0" applyNumberFormat="1" applyFont="1" applyFill="1" applyBorder="1" applyAlignment="1" applyProtection="1">
      <alignment horizontal="center" vertical="center"/>
      <protection locked="0"/>
    </xf>
    <xf numFmtId="0" fontId="27" fillId="2" borderId="7" xfId="0" applyNumberFormat="1" applyFont="1" applyFill="1" applyBorder="1" applyAlignment="1" applyProtection="1">
      <alignment horizontal="center" vertical="center"/>
      <protection locked="0"/>
    </xf>
    <xf numFmtId="49" fontId="27" fillId="0" borderId="7" xfId="0" applyNumberFormat="1" applyFont="1" applyFill="1" applyBorder="1" applyAlignment="1" applyProtection="1">
      <alignment horizontal="left"/>
      <protection locked="0"/>
    </xf>
    <xf numFmtId="0" fontId="27" fillId="0" borderId="7" xfId="0" applyNumberFormat="1" applyFont="1" applyFill="1" applyBorder="1" applyAlignment="1" applyProtection="1">
      <alignment wrapText="1"/>
    </xf>
    <xf numFmtId="0" fontId="0" fillId="2" borderId="7" xfId="0" applyFill="1" applyBorder="1" applyAlignment="1">
      <alignment wrapText="1"/>
    </xf>
    <xf numFmtId="0" fontId="27" fillId="0" borderId="7" xfId="0" applyNumberFormat="1" applyFont="1" applyFill="1" applyBorder="1" applyProtection="1"/>
    <xf numFmtId="0" fontId="2" fillId="2" borderId="7" xfId="0" applyFont="1" applyFill="1" applyBorder="1" applyAlignment="1" applyProtection="1">
      <alignment horizontal="center" vertical="top"/>
      <protection locked="0"/>
    </xf>
    <xf numFmtId="0" fontId="2" fillId="8" borderId="7" xfId="0" applyFont="1" applyFill="1" applyBorder="1" applyAlignment="1" applyProtection="1">
      <alignment vertical="top"/>
      <protection locked="0"/>
    </xf>
    <xf numFmtId="0" fontId="20" fillId="2" borderId="7" xfId="0" applyFont="1" applyFill="1" applyBorder="1" applyProtection="1">
      <protection locked="0"/>
    </xf>
    <xf numFmtId="0" fontId="29" fillId="2" borderId="7" xfId="0" applyFont="1" applyFill="1" applyBorder="1" applyProtection="1">
      <protection locked="0"/>
    </xf>
    <xf numFmtId="0" fontId="2" fillId="2" borderId="7" xfId="0" applyFont="1" applyFill="1" applyBorder="1" applyAlignment="1" applyProtection="1">
      <alignment vertical="top"/>
    </xf>
    <xf numFmtId="0" fontId="5" fillId="0" borderId="7" xfId="0" applyFont="1" applyFill="1" applyBorder="1" applyProtection="1">
      <protection locked="0"/>
    </xf>
    <xf numFmtId="0" fontId="5" fillId="2" borderId="7" xfId="0" applyFont="1" applyFill="1" applyBorder="1" applyAlignment="1" applyProtection="1">
      <alignment horizontal="center"/>
      <protection locked="0"/>
    </xf>
    <xf numFmtId="0" fontId="30" fillId="0" borderId="0" xfId="2" applyFont="1"/>
    <xf numFmtId="180" fontId="25" fillId="0" borderId="0" xfId="2" applyNumberFormat="1" applyFont="1"/>
    <xf numFmtId="0" fontId="25" fillId="0" borderId="0" xfId="2" applyFont="1"/>
    <xf numFmtId="180" fontId="25" fillId="13" borderId="120" xfId="3" applyNumberFormat="1" applyFont="1" applyFill="1" applyBorder="1" applyAlignment="1" applyProtection="1">
      <protection locked="0"/>
    </xf>
    <xf numFmtId="180" fontId="25" fillId="0" borderId="87" xfId="2" applyNumberFormat="1" applyFont="1" applyBorder="1" applyAlignment="1" applyProtection="1">
      <alignment horizontal="center" vertical="center"/>
      <protection locked="0"/>
    </xf>
    <xf numFmtId="0" fontId="25" fillId="15" borderId="121" xfId="2" applyNumberFormat="1" applyFont="1" applyFill="1" applyBorder="1" applyProtection="1">
      <protection locked="0"/>
    </xf>
    <xf numFmtId="180" fontId="25" fillId="13" borderId="122" xfId="3" applyNumberFormat="1" applyFont="1" applyFill="1" applyBorder="1" applyAlignment="1" applyProtection="1">
      <protection locked="0"/>
    </xf>
    <xf numFmtId="180" fontId="25" fillId="0" borderId="7" xfId="2" applyNumberFormat="1" applyFont="1" applyBorder="1" applyAlignment="1" applyProtection="1">
      <alignment horizontal="center" vertical="center"/>
      <protection locked="0"/>
    </xf>
    <xf numFmtId="0" fontId="25" fillId="15" borderId="123" xfId="2" applyNumberFormat="1" applyFont="1" applyFill="1" applyBorder="1" applyProtection="1">
      <protection locked="0"/>
    </xf>
    <xf numFmtId="180" fontId="25" fillId="13" borderId="24" xfId="3" applyNumberFormat="1" applyFont="1" applyFill="1" applyBorder="1" applyAlignment="1" applyProtection="1">
      <protection locked="0"/>
    </xf>
    <xf numFmtId="180" fontId="25" fillId="0" borderId="70" xfId="2" applyNumberFormat="1" applyFont="1" applyBorder="1" applyAlignment="1" applyProtection="1">
      <alignment horizontal="center" vertical="center"/>
      <protection locked="0"/>
    </xf>
    <xf numFmtId="0" fontId="25" fillId="15" borderId="124" xfId="2" applyNumberFormat="1" applyFont="1" applyFill="1" applyBorder="1" applyProtection="1">
      <protection locked="0"/>
    </xf>
    <xf numFmtId="180" fontId="25" fillId="13" borderId="125" xfId="3" applyNumberFormat="1" applyFont="1" applyFill="1" applyBorder="1" applyAlignment="1" applyProtection="1">
      <protection locked="0"/>
    </xf>
    <xf numFmtId="180" fontId="25" fillId="0" borderId="71" xfId="2" applyNumberFormat="1" applyFont="1" applyBorder="1" applyAlignment="1" applyProtection="1">
      <alignment horizontal="center" vertical="center"/>
      <protection locked="0"/>
    </xf>
    <xf numFmtId="0" fontId="25" fillId="15" borderId="126" xfId="2" applyNumberFormat="1" applyFont="1" applyFill="1" applyBorder="1" applyProtection="1">
      <protection locked="0"/>
    </xf>
    <xf numFmtId="180" fontId="30" fillId="0" borderId="0" xfId="2" applyNumberFormat="1" applyFont="1" applyBorder="1"/>
    <xf numFmtId="0" fontId="25" fillId="0" borderId="10" xfId="2" applyFont="1" applyFill="1" applyBorder="1" applyProtection="1">
      <protection hidden="1"/>
    </xf>
    <xf numFmtId="180" fontId="25" fillId="0" borderId="122" xfId="3" applyNumberFormat="1" applyFont="1" applyFill="1" applyBorder="1" applyAlignment="1" applyProtection="1">
      <protection hidden="1"/>
    </xf>
    <xf numFmtId="180" fontId="25" fillId="0" borderId="7" xfId="2" applyNumberFormat="1" applyFont="1" applyFill="1" applyBorder="1" applyAlignment="1" applyProtection="1">
      <alignment horizontal="center" vertical="center"/>
      <protection hidden="1"/>
    </xf>
    <xf numFmtId="0" fontId="25" fillId="0" borderId="7" xfId="2" applyFont="1" applyFill="1" applyBorder="1" applyProtection="1">
      <protection hidden="1"/>
    </xf>
    <xf numFmtId="0" fontId="25" fillId="0" borderId="7" xfId="2" applyFont="1" applyBorder="1" applyAlignment="1" applyProtection="1">
      <alignment horizontal="center" vertical="center"/>
      <protection hidden="1"/>
    </xf>
    <xf numFmtId="0" fontId="25" fillId="0" borderId="7" xfId="2" applyFont="1" applyBorder="1" applyProtection="1">
      <protection hidden="1"/>
    </xf>
    <xf numFmtId="0" fontId="25" fillId="0" borderId="12" xfId="2" applyFont="1" applyFill="1" applyBorder="1" applyProtection="1">
      <protection hidden="1"/>
    </xf>
    <xf numFmtId="56" fontId="25" fillId="0" borderId="7" xfId="2" applyNumberFormat="1" applyFont="1" applyBorder="1" applyAlignment="1" applyProtection="1">
      <alignment horizontal="left" vertical="center"/>
      <protection hidden="1"/>
    </xf>
    <xf numFmtId="0" fontId="25" fillId="0" borderId="7" xfId="2" applyFont="1" applyBorder="1" applyAlignment="1" applyProtection="1">
      <alignment horizontal="left" vertical="center"/>
      <protection hidden="1"/>
    </xf>
    <xf numFmtId="192" fontId="25" fillId="0" borderId="7" xfId="2" applyNumberFormat="1" applyFont="1" applyBorder="1" applyAlignment="1" applyProtection="1">
      <alignment horizontal="left" vertical="center"/>
      <protection hidden="1"/>
    </xf>
    <xf numFmtId="193" fontId="25" fillId="0" borderId="7" xfId="2" applyNumberFormat="1" applyFont="1" applyBorder="1" applyAlignment="1" applyProtection="1">
      <alignment horizontal="left" vertical="center"/>
      <protection hidden="1"/>
    </xf>
    <xf numFmtId="193" fontId="25" fillId="0" borderId="7" xfId="2" applyNumberFormat="1" applyFont="1" applyBorder="1" applyAlignment="1" applyProtection="1">
      <alignment horizontal="left"/>
      <protection hidden="1"/>
    </xf>
    <xf numFmtId="0" fontId="25" fillId="0" borderId="7" xfId="2" applyFont="1" applyBorder="1"/>
    <xf numFmtId="0" fontId="25" fillId="0" borderId="11" xfId="2" applyFont="1" applyFill="1" applyBorder="1" applyProtection="1">
      <protection hidden="1"/>
    </xf>
    <xf numFmtId="0" fontId="0" fillId="2" borderId="0" xfId="0" applyFill="1" applyAlignment="1">
      <alignment horizontal="center"/>
    </xf>
    <xf numFmtId="0" fontId="0" fillId="0" borderId="0" xfId="0" applyAlignment="1">
      <alignment wrapText="1"/>
    </xf>
    <xf numFmtId="0" fontId="2" fillId="0" borderId="0" xfId="0" applyFont="1" applyAlignment="1" applyProtection="1">
      <alignment horizontal="center" vertical="center"/>
      <protection locked="0"/>
    </xf>
    <xf numFmtId="0" fontId="2" fillId="0" borderId="0" xfId="0" applyFont="1" applyAlignment="1" applyProtection="1">
      <alignment vertical="center"/>
      <protection locked="0"/>
    </xf>
    <xf numFmtId="0" fontId="2" fillId="2" borderId="7" xfId="0" applyFont="1" applyFill="1" applyBorder="1" applyAlignment="1" applyProtection="1">
      <alignment horizontal="center" vertical="center"/>
      <protection locked="0"/>
    </xf>
    <xf numFmtId="0" fontId="2" fillId="0" borderId="7" xfId="0" applyFont="1" applyBorder="1" applyAlignment="1" applyProtection="1">
      <alignment vertical="center"/>
      <protection locked="0"/>
    </xf>
    <xf numFmtId="0" fontId="2" fillId="5" borderId="7" xfId="0" applyFont="1" applyFill="1" applyBorder="1" applyAlignment="1" applyProtection="1">
      <alignment horizontal="center" vertical="center"/>
      <protection locked="0"/>
    </xf>
    <xf numFmtId="0" fontId="2" fillId="5" borderId="7" xfId="0" applyFont="1" applyFill="1" applyBorder="1" applyAlignment="1" applyProtection="1">
      <alignment vertical="center"/>
      <protection locked="0"/>
    </xf>
    <xf numFmtId="0" fontId="2" fillId="5" borderId="0" xfId="0" applyFont="1" applyFill="1" applyAlignment="1" applyProtection="1">
      <alignment vertical="top"/>
      <protection locked="0"/>
    </xf>
    <xf numFmtId="0" fontId="27" fillId="0" borderId="7" xfId="0" applyFont="1" applyBorder="1" applyAlignment="1" applyProtection="1">
      <alignment horizontal="left" vertical="center"/>
      <protection locked="0"/>
    </xf>
    <xf numFmtId="0" fontId="27" fillId="0" borderId="7" xfId="0" applyFont="1" applyBorder="1" applyAlignment="1" applyProtection="1">
      <alignment vertical="center"/>
      <protection locked="0"/>
    </xf>
    <xf numFmtId="0" fontId="27" fillId="0" borderId="7" xfId="0" applyFont="1" applyBorder="1" applyAlignment="1" applyProtection="1">
      <alignment horizontal="center" vertical="center"/>
      <protection locked="0"/>
    </xf>
    <xf numFmtId="0" fontId="33" fillId="0" borderId="7" xfId="0" applyFont="1" applyBorder="1" applyAlignment="1" applyProtection="1">
      <alignment horizontal="center" vertical="center"/>
      <protection locked="0"/>
    </xf>
    <xf numFmtId="0" fontId="27" fillId="0" borderId="7" xfId="0" quotePrefix="1" applyFont="1" applyBorder="1" applyAlignment="1" applyProtection="1">
      <alignment horizontal="center" vertical="center"/>
      <protection locked="0"/>
    </xf>
    <xf numFmtId="194" fontId="34" fillId="15" borderId="7" xfId="0" applyNumberFormat="1" applyFont="1" applyFill="1" applyBorder="1" applyAlignment="1">
      <alignment horizontal="center" vertical="center"/>
    </xf>
    <xf numFmtId="194" fontId="34" fillId="16" borderId="7" xfId="0" applyNumberFormat="1" applyFont="1" applyFill="1" applyBorder="1" applyAlignment="1">
      <alignment horizontal="center" vertical="center"/>
    </xf>
    <xf numFmtId="0" fontId="34" fillId="0" borderId="7" xfId="0" applyNumberFormat="1" applyFont="1" applyBorder="1" applyAlignment="1">
      <alignment horizontal="center" vertical="center"/>
    </xf>
    <xf numFmtId="49" fontId="34" fillId="0" borderId="7" xfId="0" applyNumberFormat="1" applyFont="1" applyBorder="1" applyAlignment="1">
      <alignment horizontal="center" vertical="center"/>
    </xf>
    <xf numFmtId="0" fontId="35" fillId="0" borderId="0" xfId="0" applyFont="1"/>
    <xf numFmtId="49" fontId="0" fillId="2" borderId="8" xfId="0" applyNumberFormat="1" applyFill="1" applyBorder="1" applyAlignment="1">
      <alignment horizontal="center"/>
    </xf>
    <xf numFmtId="0" fontId="0" fillId="2" borderId="9" xfId="0" applyFill="1" applyBorder="1" applyAlignment="1">
      <alignment horizontal="center" vertical="top"/>
    </xf>
    <xf numFmtId="49" fontId="0" fillId="0" borderId="127" xfId="0" quotePrefix="1" applyNumberFormat="1" applyBorder="1" applyAlignment="1">
      <alignment horizontal="center" vertical="top"/>
    </xf>
    <xf numFmtId="14" fontId="0" fillId="0" borderId="11" xfId="0" applyNumberFormat="1" applyBorder="1" applyAlignment="1">
      <alignment horizontal="center" vertical="top"/>
    </xf>
    <xf numFmtId="0" fontId="0" fillId="0" borderId="128" xfId="0" applyBorder="1" applyAlignment="1">
      <alignment vertical="top"/>
    </xf>
    <xf numFmtId="49" fontId="0" fillId="0" borderId="8" xfId="0" applyNumberFormat="1" applyBorder="1" applyAlignment="1">
      <alignment horizontal="center" vertical="top"/>
    </xf>
    <xf numFmtId="14" fontId="0" fillId="0" borderId="7" xfId="0" applyNumberFormat="1" applyBorder="1" applyAlignment="1">
      <alignment horizontal="center" vertical="top"/>
    </xf>
    <xf numFmtId="0" fontId="0" fillId="0" borderId="9" xfId="0" applyBorder="1" applyAlignment="1">
      <alignment vertical="top" wrapText="1"/>
    </xf>
    <xf numFmtId="49" fontId="0" fillId="7" borderId="129" xfId="0" applyNumberFormat="1" applyFill="1" applyBorder="1" applyAlignment="1">
      <alignment horizontal="center" vertical="top"/>
    </xf>
    <xf numFmtId="14" fontId="0" fillId="7" borderId="10" xfId="0" applyNumberFormat="1" applyFill="1" applyBorder="1" applyAlignment="1">
      <alignment horizontal="center" vertical="top"/>
    </xf>
    <xf numFmtId="0" fontId="0" fillId="7" borderId="130" xfId="0" applyFill="1" applyBorder="1" applyAlignment="1">
      <alignment vertical="top" wrapText="1"/>
    </xf>
    <xf numFmtId="49" fontId="0" fillId="7" borderId="127" xfId="0" applyNumberFormat="1" applyFill="1" applyBorder="1" applyAlignment="1">
      <alignment horizontal="center" vertical="top"/>
    </xf>
    <xf numFmtId="14" fontId="0" fillId="7" borderId="11" xfId="0" applyNumberFormat="1" applyFill="1" applyBorder="1" applyAlignment="1">
      <alignment horizontal="center" vertical="top"/>
    </xf>
    <xf numFmtId="0" fontId="0" fillId="7" borderId="128" xfId="0" applyFill="1" applyBorder="1" applyAlignment="1">
      <alignment vertical="top" wrapText="1"/>
    </xf>
    <xf numFmtId="49" fontId="0" fillId="0" borderId="129" xfId="0" applyNumberFormat="1" applyBorder="1" applyAlignment="1">
      <alignment horizontal="center" vertical="top"/>
    </xf>
    <xf numFmtId="14" fontId="0" fillId="0" borderId="10" xfId="0" applyNumberFormat="1" applyBorder="1" applyAlignment="1">
      <alignment horizontal="center" vertical="top"/>
    </xf>
    <xf numFmtId="0" fontId="0" fillId="0" borderId="130" xfId="0" applyBorder="1" applyAlignment="1">
      <alignment vertical="top" wrapText="1"/>
    </xf>
    <xf numFmtId="0" fontId="36" fillId="0" borderId="0" xfId="0" applyFont="1"/>
    <xf numFmtId="49" fontId="0" fillId="0" borderId="127" xfId="0" applyNumberFormat="1" applyBorder="1" applyAlignment="1">
      <alignment horizontal="center" vertical="top"/>
    </xf>
    <xf numFmtId="0" fontId="0" fillId="0" borderId="128" xfId="0" applyBorder="1" applyAlignment="1">
      <alignment vertical="top" wrapText="1"/>
    </xf>
    <xf numFmtId="14" fontId="0" fillId="0" borderId="7" xfId="0" quotePrefix="1" applyNumberFormat="1" applyBorder="1" applyAlignment="1">
      <alignment horizontal="center" vertical="top"/>
    </xf>
    <xf numFmtId="0" fontId="1" fillId="0" borderId="9" xfId="0" applyFont="1" applyBorder="1" applyAlignment="1">
      <alignment vertical="top" wrapText="1"/>
    </xf>
    <xf numFmtId="0" fontId="37" fillId="0" borderId="0" xfId="0" applyFont="1"/>
    <xf numFmtId="49" fontId="0" fillId="0" borderId="8" xfId="0" quotePrefix="1" applyNumberFormat="1" applyBorder="1" applyAlignment="1">
      <alignment horizontal="center" vertical="top"/>
    </xf>
    <xf numFmtId="49" fontId="0" fillId="0" borderId="7" xfId="0" applyNumberFormat="1" applyBorder="1" applyAlignment="1">
      <alignment horizontal="center" vertical="top"/>
    </xf>
    <xf numFmtId="49" fontId="0" fillId="0" borderId="0" xfId="0" applyNumberFormat="1" applyAlignment="1">
      <alignment horizontal="center"/>
    </xf>
    <xf numFmtId="0" fontId="0" fillId="0" borderId="0" xfId="0" applyAlignment="1">
      <alignment vertical="top"/>
    </xf>
    <xf numFmtId="180" fontId="25" fillId="17" borderId="122" xfId="3" applyNumberFormat="1" applyFont="1" applyFill="1" applyBorder="1" applyAlignment="1" applyProtection="1">
      <protection hidden="1"/>
    </xf>
    <xf numFmtId="0" fontId="27" fillId="0" borderId="7" xfId="0" applyFont="1" applyBorder="1" applyAlignment="1">
      <alignment wrapText="1"/>
    </xf>
    <xf numFmtId="49" fontId="27" fillId="17" borderId="7" xfId="0" applyNumberFormat="1" applyFont="1" applyFill="1" applyBorder="1" applyAlignment="1" applyProtection="1">
      <alignment horizontal="left"/>
      <protection locked="0"/>
    </xf>
    <xf numFmtId="0" fontId="27" fillId="0" borderId="7" xfId="0" applyFont="1" applyBorder="1"/>
    <xf numFmtId="0" fontId="2" fillId="3" borderId="7"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5" fillId="0" borderId="1"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5" fillId="0" borderId="3" xfId="0" applyFont="1" applyBorder="1" applyAlignment="1" applyProtection="1">
      <alignment horizontal="center" vertical="center" shrinkToFit="1"/>
      <protection locked="0"/>
    </xf>
    <xf numFmtId="0" fontId="5" fillId="0" borderId="1" xfId="0" applyFont="1" applyBorder="1" applyAlignment="1" applyProtection="1">
      <alignment horizontal="center" vertical="center"/>
      <protection locked="0"/>
    </xf>
    <xf numFmtId="0" fontId="5" fillId="0" borderId="3" xfId="0" applyFont="1" applyBorder="1" applyAlignment="1" applyProtection="1">
      <alignment horizontal="center" vertical="center"/>
      <protection locked="0"/>
    </xf>
    <xf numFmtId="0" fontId="5" fillId="2" borderId="1" xfId="0" applyFont="1" applyFill="1" applyBorder="1" applyAlignment="1" applyProtection="1">
      <alignment horizontal="center" vertical="center"/>
      <protection hidden="1"/>
    </xf>
    <xf numFmtId="0" fontId="5" fillId="2" borderId="2" xfId="0" applyFont="1" applyFill="1" applyBorder="1" applyAlignment="1" applyProtection="1">
      <alignment horizontal="center" vertical="center"/>
      <protection hidden="1"/>
    </xf>
    <xf numFmtId="0" fontId="5" fillId="2" borderId="3" xfId="0" applyFont="1" applyFill="1" applyBorder="1" applyAlignment="1" applyProtection="1">
      <alignment horizontal="center" vertical="center"/>
      <protection hidden="1"/>
    </xf>
    <xf numFmtId="20" fontId="2" fillId="0" borderId="1" xfId="0" applyNumberFormat="1" applyFont="1" applyBorder="1" applyAlignment="1" applyProtection="1">
      <alignment horizontal="center" vertical="center"/>
      <protection locked="0"/>
    </xf>
    <xf numFmtId="0" fontId="2" fillId="0" borderId="2" xfId="0" applyFont="1" applyBorder="1" applyAlignment="1" applyProtection="1">
      <alignment horizontal="center" vertical="center"/>
      <protection locked="0"/>
    </xf>
    <xf numFmtId="0" fontId="2" fillId="0" borderId="3" xfId="0" applyFont="1" applyBorder="1" applyAlignment="1" applyProtection="1">
      <alignment horizontal="center" vertical="center"/>
      <protection locked="0"/>
    </xf>
    <xf numFmtId="0" fontId="5" fillId="2" borderId="1" xfId="0" applyFont="1" applyFill="1" applyBorder="1" applyAlignment="1" applyProtection="1">
      <alignment horizontal="center" vertical="center" shrinkToFit="1"/>
      <protection hidden="1"/>
    </xf>
    <xf numFmtId="0" fontId="5" fillId="2" borderId="3" xfId="0" applyFont="1" applyFill="1" applyBorder="1" applyAlignment="1" applyProtection="1">
      <alignment horizontal="center" vertical="center" shrinkToFit="1"/>
      <protection hidden="1"/>
    </xf>
    <xf numFmtId="49" fontId="5" fillId="0" borderId="1" xfId="0" applyNumberFormat="1" applyFont="1" applyFill="1" applyBorder="1" applyAlignment="1" applyProtection="1">
      <alignment horizontal="center" vertical="center" shrinkToFit="1"/>
      <protection locked="0"/>
    </xf>
    <xf numFmtId="49" fontId="5" fillId="0" borderId="3" xfId="0" applyNumberFormat="1" applyFont="1" applyFill="1" applyBorder="1" applyAlignment="1" applyProtection="1">
      <alignment horizontal="center" vertical="center" shrinkToFit="1"/>
      <protection locked="0"/>
    </xf>
    <xf numFmtId="57" fontId="5" fillId="2" borderId="1" xfId="0" applyNumberFormat="1" applyFont="1" applyFill="1" applyBorder="1" applyAlignment="1" applyProtection="1">
      <alignment horizontal="center" vertical="center" shrinkToFit="1"/>
      <protection hidden="1"/>
    </xf>
    <xf numFmtId="57" fontId="5" fillId="2" borderId="3" xfId="0" applyNumberFormat="1" applyFont="1" applyFill="1" applyBorder="1" applyAlignment="1" applyProtection="1">
      <alignment horizontal="center" vertical="center" shrinkToFit="1"/>
      <protection hidden="1"/>
    </xf>
    <xf numFmtId="49" fontId="5" fillId="0" borderId="1" xfId="0" applyNumberFormat="1" applyFont="1" applyBorder="1" applyAlignment="1" applyProtection="1">
      <alignment horizontal="center" vertical="center"/>
      <protection locked="0"/>
    </xf>
    <xf numFmtId="49" fontId="5" fillId="0" borderId="2" xfId="0" applyNumberFormat="1" applyFont="1" applyBorder="1" applyAlignment="1" applyProtection="1">
      <alignment horizontal="center" vertical="center"/>
      <protection locked="0"/>
    </xf>
    <xf numFmtId="49" fontId="5" fillId="0" borderId="3" xfId="0" applyNumberFormat="1" applyFont="1" applyBorder="1" applyAlignment="1" applyProtection="1">
      <alignment horizontal="center" vertical="center"/>
      <protection locked="0"/>
    </xf>
    <xf numFmtId="0" fontId="5" fillId="0" borderId="5"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5" fillId="0" borderId="1" xfId="0" applyFont="1" applyBorder="1" applyAlignment="1" applyProtection="1">
      <alignment horizontal="center" vertical="center" wrapText="1" shrinkToFit="1"/>
      <protection locked="0"/>
    </xf>
    <xf numFmtId="0" fontId="2" fillId="2" borderId="1" xfId="0" applyFont="1" applyFill="1" applyBorder="1" applyAlignment="1" applyProtection="1">
      <alignment horizontal="left" vertical="center"/>
      <protection hidden="1"/>
    </xf>
    <xf numFmtId="0" fontId="2" fillId="2" borderId="2" xfId="0" applyFont="1" applyFill="1" applyBorder="1" applyAlignment="1" applyProtection="1">
      <alignment horizontal="left" vertical="center"/>
      <protection hidden="1"/>
    </xf>
    <xf numFmtId="0" fontId="2" fillId="2" borderId="3" xfId="0" applyFont="1" applyFill="1" applyBorder="1" applyAlignment="1" applyProtection="1">
      <alignment horizontal="left" vertical="center"/>
      <protection hidden="1"/>
    </xf>
    <xf numFmtId="57" fontId="5" fillId="0" borderId="1" xfId="0" applyNumberFormat="1" applyFont="1" applyFill="1" applyBorder="1" applyAlignment="1" applyProtection="1">
      <alignment horizontal="center" vertical="center" shrinkToFit="1"/>
      <protection locked="0"/>
    </xf>
    <xf numFmtId="57" fontId="5" fillId="0" borderId="3" xfId="0" applyNumberFormat="1" applyFont="1" applyFill="1" applyBorder="1" applyAlignment="1" applyProtection="1">
      <alignment horizontal="center" vertical="center" shrinkToFit="1"/>
      <protection locked="0"/>
    </xf>
    <xf numFmtId="0" fontId="2" fillId="0" borderId="10" xfId="0" applyFont="1" applyFill="1" applyBorder="1" applyAlignment="1" applyProtection="1">
      <alignment vertical="top"/>
      <protection locked="0"/>
    </xf>
    <xf numFmtId="0" fontId="2" fillId="0" borderId="12" xfId="0" applyFont="1" applyFill="1" applyBorder="1" applyAlignment="1" applyProtection="1">
      <alignment vertical="top"/>
      <protection locked="0"/>
    </xf>
    <xf numFmtId="0" fontId="2" fillId="0" borderId="11" xfId="0" applyFont="1" applyFill="1" applyBorder="1" applyAlignment="1" applyProtection="1">
      <alignment vertical="top"/>
      <protection locked="0"/>
    </xf>
    <xf numFmtId="0" fontId="2" fillId="3" borderId="7" xfId="0" applyFont="1" applyFill="1" applyBorder="1" applyAlignment="1" applyProtection="1">
      <alignment horizontal="center" vertical="top" wrapText="1"/>
      <protection hidden="1"/>
    </xf>
    <xf numFmtId="176" fontId="2" fillId="2" borderId="10" xfId="0" applyNumberFormat="1" applyFont="1" applyFill="1" applyBorder="1" applyAlignment="1" applyProtection="1">
      <alignment horizontal="center" vertical="center"/>
      <protection hidden="1"/>
    </xf>
    <xf numFmtId="176" fontId="2" fillId="2" borderId="12" xfId="0" applyNumberFormat="1" applyFont="1" applyFill="1" applyBorder="1" applyAlignment="1" applyProtection="1">
      <alignment horizontal="center" vertical="center"/>
      <protection hidden="1"/>
    </xf>
    <xf numFmtId="176" fontId="2" fillId="2" borderId="11" xfId="0" applyNumberFormat="1" applyFont="1" applyFill="1" applyBorder="1" applyAlignment="1" applyProtection="1">
      <alignment horizontal="center" vertical="center"/>
      <protection hidden="1"/>
    </xf>
    <xf numFmtId="177" fontId="2" fillId="2" borderId="10" xfId="0" applyNumberFormat="1" applyFont="1" applyFill="1" applyBorder="1" applyAlignment="1" applyProtection="1">
      <alignment horizontal="center" vertical="center"/>
      <protection hidden="1"/>
    </xf>
    <xf numFmtId="177" fontId="2" fillId="2" borderId="12" xfId="0" applyNumberFormat="1" applyFont="1" applyFill="1" applyBorder="1" applyAlignment="1" applyProtection="1">
      <alignment horizontal="center" vertical="center"/>
      <protection hidden="1"/>
    </xf>
    <xf numFmtId="177" fontId="2" fillId="2" borderId="11" xfId="0" applyNumberFormat="1" applyFont="1" applyFill="1" applyBorder="1" applyAlignment="1" applyProtection="1">
      <alignment horizontal="center" vertical="center"/>
      <protection hidden="1"/>
    </xf>
    <xf numFmtId="178" fontId="2" fillId="2" borderId="10" xfId="0" applyNumberFormat="1" applyFont="1" applyFill="1" applyBorder="1" applyAlignment="1" applyProtection="1">
      <alignment horizontal="center" vertical="center"/>
      <protection hidden="1"/>
    </xf>
    <xf numFmtId="178" fontId="2" fillId="2" borderId="12" xfId="0" applyNumberFormat="1" applyFont="1" applyFill="1" applyBorder="1" applyAlignment="1" applyProtection="1">
      <alignment horizontal="center" vertical="center"/>
      <protection hidden="1"/>
    </xf>
    <xf numFmtId="178" fontId="2" fillId="2" borderId="11" xfId="0" applyNumberFormat="1" applyFont="1" applyFill="1" applyBorder="1" applyAlignment="1" applyProtection="1">
      <alignment horizontal="center" vertical="center"/>
      <protection hidden="1"/>
    </xf>
    <xf numFmtId="0" fontId="8" fillId="2" borderId="10" xfId="0" applyNumberFormat="1" applyFont="1" applyFill="1" applyBorder="1" applyAlignment="1" applyProtection="1">
      <alignment horizontal="center" vertical="center"/>
      <protection hidden="1"/>
    </xf>
    <xf numFmtId="0" fontId="8" fillId="2" borderId="12" xfId="0" applyNumberFormat="1" applyFont="1" applyFill="1" applyBorder="1" applyAlignment="1" applyProtection="1">
      <alignment horizontal="center" vertical="center"/>
      <protection hidden="1"/>
    </xf>
    <xf numFmtId="0" fontId="8" fillId="2" borderId="11" xfId="0" applyNumberFormat="1" applyFont="1" applyFill="1" applyBorder="1" applyAlignment="1" applyProtection="1">
      <alignment horizontal="center" vertical="center"/>
      <protection hidden="1"/>
    </xf>
    <xf numFmtId="179" fontId="2" fillId="0" borderId="10" xfId="0" applyNumberFormat="1" applyFont="1" applyFill="1" applyBorder="1" applyAlignment="1" applyProtection="1">
      <alignment horizontal="center" vertical="center"/>
      <protection locked="0"/>
    </xf>
    <xf numFmtId="179" fontId="2" fillId="0" borderId="12" xfId="0" applyNumberFormat="1" applyFont="1" applyFill="1" applyBorder="1" applyAlignment="1" applyProtection="1">
      <alignment horizontal="center" vertical="center"/>
      <protection locked="0"/>
    </xf>
    <xf numFmtId="179" fontId="2" fillId="0" borderId="11" xfId="0" applyNumberFormat="1" applyFont="1" applyFill="1" applyBorder="1" applyAlignment="1" applyProtection="1">
      <alignment horizontal="center" vertical="center"/>
      <protection locked="0"/>
    </xf>
    <xf numFmtId="0" fontId="2" fillId="3" borderId="10" xfId="0" applyFont="1" applyFill="1" applyBorder="1" applyAlignment="1">
      <alignment horizontal="center" vertical="center" wrapText="1"/>
    </xf>
    <xf numFmtId="0" fontId="2" fillId="3" borderId="11" xfId="0" applyFont="1" applyFill="1" applyBorder="1" applyAlignment="1">
      <alignment horizontal="center" vertical="center" wrapText="1"/>
    </xf>
    <xf numFmtId="0" fontId="2" fillId="3" borderId="7" xfId="0" applyFont="1" applyFill="1" applyBorder="1" applyAlignment="1">
      <alignment horizontal="center" vertical="center" wrapText="1" shrinkToFit="1"/>
    </xf>
    <xf numFmtId="0" fontId="2" fillId="3" borderId="8" xfId="0" applyFont="1" applyFill="1" applyBorder="1" applyAlignment="1">
      <alignment horizontal="center" vertical="center"/>
    </xf>
    <xf numFmtId="0" fontId="2" fillId="3" borderId="9" xfId="0" applyFont="1" applyFill="1" applyBorder="1" applyAlignment="1">
      <alignment horizontal="center" vertical="center"/>
    </xf>
    <xf numFmtId="0" fontId="2" fillId="5" borderId="7" xfId="0" applyFont="1" applyFill="1" applyBorder="1" applyAlignment="1">
      <alignment horizontal="center" vertical="center" wrapText="1"/>
    </xf>
    <xf numFmtId="49" fontId="2" fillId="7" borderId="12" xfId="0" applyNumberFormat="1" applyFont="1" applyFill="1" applyBorder="1" applyAlignment="1" applyProtection="1">
      <alignment horizontal="center" vertical="center"/>
      <protection locked="0"/>
    </xf>
    <xf numFmtId="49" fontId="2" fillId="7" borderId="11" xfId="0" applyNumberFormat="1" applyFont="1" applyFill="1" applyBorder="1" applyAlignment="1" applyProtection="1">
      <alignment horizontal="center" vertical="center"/>
      <protection locked="0"/>
    </xf>
    <xf numFmtId="180" fontId="2" fillId="7" borderId="10" xfId="0" applyNumberFormat="1" applyFont="1" applyFill="1" applyBorder="1" applyAlignment="1" applyProtection="1">
      <alignment horizontal="center" vertical="center" wrapText="1"/>
      <protection locked="0"/>
    </xf>
    <xf numFmtId="180" fontId="2" fillId="7" borderId="12" xfId="0" applyNumberFormat="1" applyFont="1" applyFill="1" applyBorder="1" applyAlignment="1" applyProtection="1">
      <alignment horizontal="center" vertical="center" wrapText="1"/>
      <protection locked="0"/>
    </xf>
    <xf numFmtId="180" fontId="2" fillId="7" borderId="11" xfId="0" applyNumberFormat="1" applyFont="1" applyFill="1" applyBorder="1" applyAlignment="1" applyProtection="1">
      <alignment horizontal="center" vertical="center" wrapText="1"/>
      <protection locked="0"/>
    </xf>
    <xf numFmtId="0" fontId="2" fillId="0" borderId="10" xfId="0" applyFont="1" applyFill="1" applyBorder="1" applyAlignment="1" applyProtection="1">
      <alignment vertical="top" wrapText="1"/>
      <protection locked="0"/>
    </xf>
    <xf numFmtId="0" fontId="2" fillId="0" borderId="12" xfId="0" applyFont="1" applyFill="1" applyBorder="1" applyAlignment="1" applyProtection="1">
      <alignment vertical="top" wrapText="1"/>
      <protection locked="0"/>
    </xf>
    <xf numFmtId="0" fontId="2" fillId="0" borderId="11" xfId="0" applyFont="1" applyFill="1" applyBorder="1" applyAlignment="1" applyProtection="1">
      <alignment vertical="top" wrapText="1"/>
      <protection locked="0"/>
    </xf>
    <xf numFmtId="20" fontId="2" fillId="0" borderId="10" xfId="0" applyNumberFormat="1" applyFont="1" applyFill="1" applyBorder="1" applyAlignment="1" applyProtection="1">
      <alignment horizontal="center" vertical="center"/>
      <protection locked="0"/>
    </xf>
    <xf numFmtId="20" fontId="2" fillId="0" borderId="12" xfId="0" applyNumberFormat="1" applyFont="1" applyFill="1" applyBorder="1" applyAlignment="1" applyProtection="1">
      <alignment horizontal="center" vertical="center"/>
      <protection locked="0"/>
    </xf>
    <xf numFmtId="20" fontId="2" fillId="0" borderId="11" xfId="0" applyNumberFormat="1" applyFont="1" applyFill="1" applyBorder="1" applyAlignment="1" applyProtection="1">
      <alignment horizontal="center" vertical="center"/>
      <protection locked="0"/>
    </xf>
    <xf numFmtId="49" fontId="2" fillId="7" borderId="12" xfId="0" applyNumberFormat="1" applyFont="1" applyFill="1" applyBorder="1" applyAlignment="1" applyProtection="1">
      <alignment horizontal="center" vertical="center" shrinkToFit="1"/>
      <protection locked="0"/>
    </xf>
    <xf numFmtId="49" fontId="2" fillId="7" borderId="11" xfId="0" applyNumberFormat="1" applyFont="1" applyFill="1" applyBorder="1" applyAlignment="1" applyProtection="1">
      <alignment horizontal="center" vertical="center" shrinkToFit="1"/>
      <protection locked="0"/>
    </xf>
    <xf numFmtId="0" fontId="2" fillId="5" borderId="10" xfId="0" applyNumberFormat="1" applyFont="1" applyFill="1" applyBorder="1" applyAlignment="1" applyProtection="1">
      <alignment horizontal="center" vertical="center"/>
      <protection hidden="1"/>
    </xf>
    <xf numFmtId="0" fontId="2" fillId="5" borderId="12" xfId="0" applyNumberFormat="1" applyFont="1" applyFill="1" applyBorder="1" applyAlignment="1" applyProtection="1">
      <alignment horizontal="center" vertical="center"/>
      <protection hidden="1"/>
    </xf>
    <xf numFmtId="0" fontId="2" fillId="5" borderId="11" xfId="0" applyNumberFormat="1" applyFont="1" applyFill="1" applyBorder="1" applyAlignment="1" applyProtection="1">
      <alignment horizontal="center" vertical="center"/>
      <protection hidden="1"/>
    </xf>
    <xf numFmtId="0" fontId="2" fillId="5" borderId="15" xfId="0" applyNumberFormat="1" applyFont="1" applyFill="1" applyBorder="1" applyAlignment="1" applyProtection="1">
      <alignment horizontal="center" vertical="center"/>
      <protection hidden="1"/>
    </xf>
    <xf numFmtId="182" fontId="5" fillId="0" borderId="20" xfId="1" applyNumberFormat="1" applyFont="1" applyBorder="1" applyAlignment="1" applyProtection="1">
      <alignment horizontal="left"/>
      <protection hidden="1"/>
    </xf>
    <xf numFmtId="183" fontId="20" fillId="11" borderId="21" xfId="0" applyNumberFormat="1" applyFont="1" applyFill="1" applyBorder="1" applyAlignment="1" applyProtection="1">
      <alignment horizontal="center" vertical="center"/>
      <protection hidden="1"/>
    </xf>
    <xf numFmtId="183" fontId="20" fillId="11" borderId="24" xfId="0" applyNumberFormat="1" applyFont="1" applyFill="1" applyBorder="1" applyAlignment="1" applyProtection="1">
      <alignment horizontal="center" vertical="center"/>
      <protection hidden="1"/>
    </xf>
    <xf numFmtId="2" fontId="20" fillId="0" borderId="21" xfId="0" applyNumberFormat="1" applyFont="1" applyBorder="1" applyAlignment="1" applyProtection="1">
      <alignment horizontal="center" vertical="center"/>
      <protection hidden="1"/>
    </xf>
    <xf numFmtId="2" fontId="20" fillId="0" borderId="24" xfId="0" applyNumberFormat="1" applyFont="1" applyBorder="1" applyAlignment="1" applyProtection="1">
      <alignment horizontal="center" vertical="center"/>
      <protection hidden="1"/>
    </xf>
    <xf numFmtId="0" fontId="5" fillId="13" borderId="23" xfId="1" applyFont="1" applyFill="1" applyBorder="1" applyAlignment="1" applyProtection="1">
      <alignment vertical="center" shrinkToFit="1"/>
    </xf>
    <xf numFmtId="0" fontId="5" fillId="0" borderId="2" xfId="1" applyBorder="1" applyAlignment="1" applyProtection="1"/>
    <xf numFmtId="0" fontId="5" fillId="0" borderId="3" xfId="1" applyBorder="1" applyAlignment="1" applyProtection="1"/>
    <xf numFmtId="57" fontId="5" fillId="13" borderId="23" xfId="1" applyNumberFormat="1" applyFont="1" applyFill="1" applyBorder="1" applyAlignment="1" applyProtection="1">
      <alignment horizontal="center" vertical="center" shrinkToFit="1"/>
    </xf>
    <xf numFmtId="0" fontId="5" fillId="0" borderId="3" xfId="1" applyBorder="1" applyProtection="1"/>
    <xf numFmtId="182" fontId="5" fillId="0" borderId="20" xfId="1" applyNumberFormat="1" applyFont="1" applyBorder="1" applyAlignment="1" applyProtection="1">
      <protection hidden="1"/>
    </xf>
    <xf numFmtId="0" fontId="5" fillId="0" borderId="20" xfId="1" applyBorder="1" applyAlignment="1" applyProtection="1">
      <protection hidden="1"/>
    </xf>
    <xf numFmtId="182" fontId="5" fillId="0" borderId="20" xfId="1" applyNumberFormat="1" applyBorder="1" applyAlignment="1" applyProtection="1">
      <alignment horizontal="center"/>
      <protection hidden="1"/>
    </xf>
    <xf numFmtId="49" fontId="5" fillId="13" borderId="25" xfId="1" applyNumberFormat="1" applyFont="1" applyFill="1" applyBorder="1" applyAlignment="1" applyProtection="1">
      <alignment horizontal="center" vertical="center" shrinkToFit="1"/>
    </xf>
    <xf numFmtId="49" fontId="5" fillId="13" borderId="23" xfId="1" applyNumberFormat="1" applyFont="1" applyFill="1" applyBorder="1" applyAlignment="1" applyProtection="1">
      <alignment horizontal="center" vertical="center" shrinkToFit="1"/>
    </xf>
    <xf numFmtId="0" fontId="5" fillId="7" borderId="42" xfId="0" applyFont="1" applyFill="1" applyBorder="1" applyAlignment="1" applyProtection="1">
      <alignment horizontal="center" vertical="center" wrapText="1"/>
      <protection hidden="1"/>
    </xf>
    <xf numFmtId="0" fontId="5" fillId="7" borderId="43" xfId="0" applyFont="1" applyFill="1" applyBorder="1" applyAlignment="1" applyProtection="1">
      <alignment horizontal="center" vertical="center" wrapText="1"/>
      <protection hidden="1"/>
    </xf>
    <xf numFmtId="0" fontId="5" fillId="0" borderId="27" xfId="0" applyFont="1" applyBorder="1" applyAlignment="1" applyProtection="1">
      <alignment horizontal="center" vertical="center"/>
      <protection hidden="1"/>
    </xf>
    <xf numFmtId="0" fontId="5" fillId="0" borderId="52" xfId="0" applyFont="1" applyBorder="1" applyAlignment="1" applyProtection="1">
      <alignment horizontal="center" vertical="center"/>
      <protection hidden="1"/>
    </xf>
    <xf numFmtId="0" fontId="5" fillId="0" borderId="28" xfId="0" applyFont="1" applyBorder="1" applyAlignment="1" applyProtection="1">
      <alignment horizontal="center" vertical="center"/>
      <protection hidden="1"/>
    </xf>
    <xf numFmtId="0" fontId="5" fillId="0" borderId="53" xfId="0" applyFont="1" applyBorder="1" applyAlignment="1" applyProtection="1">
      <alignment horizontal="center" vertical="center"/>
      <protection hidden="1"/>
    </xf>
    <xf numFmtId="178" fontId="5" fillId="0" borderId="29" xfId="0" applyNumberFormat="1" applyFont="1" applyBorder="1" applyAlignment="1" applyProtection="1">
      <alignment horizontal="center" vertical="center"/>
      <protection hidden="1"/>
    </xf>
    <xf numFmtId="0" fontId="5" fillId="0" borderId="54" xfId="0" applyFont="1" applyBorder="1" applyAlignment="1" applyProtection="1">
      <alignment horizontal="center" vertical="center"/>
      <protection hidden="1"/>
    </xf>
    <xf numFmtId="178" fontId="5" fillId="0" borderId="30" xfId="0" applyNumberFormat="1" applyFont="1" applyBorder="1" applyAlignment="1" applyProtection="1">
      <alignment horizontal="center" vertical="center" wrapText="1"/>
      <protection hidden="1"/>
    </xf>
    <xf numFmtId="0" fontId="5" fillId="0" borderId="55" xfId="0" applyFont="1" applyBorder="1" applyAlignment="1" applyProtection="1">
      <alignment horizontal="center" vertical="center"/>
      <protection hidden="1"/>
    </xf>
    <xf numFmtId="0" fontId="5" fillId="0" borderId="31" xfId="0" applyFont="1" applyBorder="1" applyAlignment="1" applyProtection="1">
      <alignment horizontal="center" vertical="center"/>
      <protection hidden="1"/>
    </xf>
    <xf numFmtId="0" fontId="5" fillId="0" borderId="56" xfId="0" applyFont="1" applyBorder="1" applyAlignment="1" applyProtection="1">
      <alignment horizontal="center" vertical="center"/>
      <protection hidden="1"/>
    </xf>
    <xf numFmtId="0" fontId="5" fillId="0" borderId="32" xfId="0" applyFont="1" applyBorder="1" applyAlignment="1" applyProtection="1">
      <alignment horizontal="center" vertical="center"/>
      <protection hidden="1"/>
    </xf>
    <xf numFmtId="0" fontId="5" fillId="0" borderId="57" xfId="0" applyFont="1" applyBorder="1" applyAlignment="1" applyProtection="1">
      <alignment horizontal="center" vertical="center"/>
      <protection hidden="1"/>
    </xf>
    <xf numFmtId="178" fontId="5" fillId="7" borderId="33" xfId="0" applyNumberFormat="1" applyFont="1" applyFill="1" applyBorder="1" applyAlignment="1" applyProtection="1">
      <alignment horizontal="center" vertical="center"/>
      <protection hidden="1"/>
    </xf>
    <xf numFmtId="178" fontId="5" fillId="7" borderId="28" xfId="0" applyNumberFormat="1" applyFont="1" applyFill="1" applyBorder="1" applyAlignment="1" applyProtection="1">
      <alignment horizontal="center" vertical="center"/>
      <protection hidden="1"/>
    </xf>
    <xf numFmtId="0" fontId="5" fillId="7" borderId="34" xfId="0" applyFont="1" applyFill="1" applyBorder="1" applyAlignment="1" applyProtection="1">
      <alignment horizontal="center" vertical="center"/>
      <protection hidden="1"/>
    </xf>
    <xf numFmtId="0" fontId="5" fillId="7" borderId="35" xfId="0" applyFont="1" applyFill="1" applyBorder="1" applyAlignment="1" applyProtection="1">
      <alignment horizontal="center" vertical="center"/>
      <protection hidden="1"/>
    </xf>
    <xf numFmtId="49" fontId="5" fillId="7" borderId="37" xfId="0" applyNumberFormat="1" applyFont="1" applyFill="1" applyBorder="1" applyAlignment="1" applyProtection="1">
      <alignment horizontal="center" vertical="center"/>
      <protection hidden="1"/>
    </xf>
    <xf numFmtId="49" fontId="5" fillId="7" borderId="38" xfId="0" applyNumberFormat="1" applyFont="1" applyFill="1" applyBorder="1" applyAlignment="1" applyProtection="1">
      <alignment horizontal="center" vertical="center"/>
      <protection hidden="1"/>
    </xf>
    <xf numFmtId="49" fontId="5" fillId="7" borderId="39" xfId="0" applyNumberFormat="1" applyFont="1" applyFill="1" applyBorder="1" applyAlignment="1" applyProtection="1">
      <alignment horizontal="center" vertical="center"/>
      <protection hidden="1"/>
    </xf>
    <xf numFmtId="49" fontId="5" fillId="7" borderId="40" xfId="0" applyNumberFormat="1" applyFont="1" applyFill="1" applyBorder="1" applyAlignment="1" applyProtection="1">
      <alignment horizontal="center" vertical="center"/>
      <protection hidden="1"/>
    </xf>
    <xf numFmtId="0" fontId="5" fillId="7" borderId="38" xfId="0" applyFont="1" applyFill="1" applyBorder="1" applyAlignment="1" applyProtection="1">
      <alignment horizontal="center" vertical="center" wrapText="1"/>
      <protection hidden="1"/>
    </xf>
    <xf numFmtId="0" fontId="5" fillId="7" borderId="46" xfId="0" applyFont="1" applyFill="1" applyBorder="1" applyAlignment="1" applyProtection="1">
      <alignment horizontal="center" vertical="center"/>
      <protection hidden="1"/>
    </xf>
    <xf numFmtId="0" fontId="5" fillId="7" borderId="70" xfId="0" applyFont="1" applyFill="1" applyBorder="1" applyAlignment="1" applyProtection="1">
      <alignment horizontal="center" vertical="center"/>
      <protection hidden="1"/>
    </xf>
    <xf numFmtId="0" fontId="5" fillId="7" borderId="44" xfId="0" applyFont="1" applyFill="1" applyBorder="1" applyAlignment="1" applyProtection="1">
      <alignment horizontal="center" vertical="center" wrapText="1"/>
      <protection hidden="1"/>
    </xf>
    <xf numFmtId="0" fontId="5" fillId="7" borderId="41" xfId="0" applyFont="1" applyFill="1" applyBorder="1" applyAlignment="1" applyProtection="1">
      <alignment horizontal="center" vertical="center" wrapText="1"/>
      <protection hidden="1"/>
    </xf>
    <xf numFmtId="0" fontId="5" fillId="7" borderId="45" xfId="0" applyFont="1" applyFill="1" applyBorder="1" applyAlignment="1" applyProtection="1">
      <alignment horizontal="center" vertical="center"/>
      <protection hidden="1"/>
    </xf>
    <xf numFmtId="0" fontId="5" fillId="7" borderId="69" xfId="0" applyFont="1" applyFill="1" applyBorder="1" applyAlignment="1" applyProtection="1">
      <alignment horizontal="center" vertical="center"/>
      <protection hidden="1"/>
    </xf>
    <xf numFmtId="0" fontId="5" fillId="7" borderId="47" xfId="0" applyFont="1" applyFill="1" applyBorder="1" applyAlignment="1" applyProtection="1">
      <alignment horizontal="center" vertical="center"/>
      <protection hidden="1"/>
    </xf>
    <xf numFmtId="0" fontId="5" fillId="7" borderId="48" xfId="0" applyFont="1" applyFill="1" applyBorder="1" applyAlignment="1" applyProtection="1">
      <alignment horizontal="center" vertical="center"/>
      <protection hidden="1"/>
    </xf>
    <xf numFmtId="0" fontId="5" fillId="7" borderId="72" xfId="0" applyFont="1" applyFill="1" applyBorder="1" applyAlignment="1" applyProtection="1">
      <alignment horizontal="center" vertical="center"/>
      <protection hidden="1"/>
    </xf>
    <xf numFmtId="0" fontId="5" fillId="7" borderId="49" xfId="0" applyFont="1" applyFill="1" applyBorder="1" applyAlignment="1" applyProtection="1">
      <alignment horizontal="center" vertical="center"/>
      <protection hidden="1"/>
    </xf>
    <xf numFmtId="0" fontId="5" fillId="7" borderId="73" xfId="0" applyFont="1" applyFill="1" applyBorder="1" applyAlignment="1" applyProtection="1">
      <alignment horizontal="center" vertical="center"/>
      <protection hidden="1"/>
    </xf>
    <xf numFmtId="0" fontId="5" fillId="7" borderId="46" xfId="0" applyFont="1" applyFill="1" applyBorder="1" applyAlignment="1" applyProtection="1">
      <alignment horizontal="center" vertical="center" wrapText="1"/>
      <protection hidden="1"/>
    </xf>
  </cellXfs>
  <cellStyles count="4">
    <cellStyle name="標準" xfId="0" builtinId="0"/>
    <cellStyle name="標準_【社員用】勤怠表OBIC原価管理兼用ver1.1" xfId="1" xr:uid="{00000000-0005-0000-0000-000001000000}"/>
    <cellStyle name="標準_v069915-0602-外山光則" xfId="3" xr:uid="{00000000-0005-0000-0000-000002000000}"/>
    <cellStyle name="標準_祝日シートサンプルv999999-YYMM(EAn)東海 太郎ver1.1" xfId="2" xr:uid="{00000000-0005-0000-0000-000003000000}"/>
  </cellStyles>
  <dxfs count="147">
    <dxf>
      <font>
        <condense val="0"/>
        <extend val="0"/>
        <color indexed="55"/>
      </font>
    </dxf>
    <dxf>
      <font>
        <color rgb="FF002060"/>
      </font>
      <fill>
        <patternFill>
          <bgColor theme="8" tint="0.79998168889431442"/>
        </patternFill>
      </fill>
    </dxf>
    <dxf>
      <font>
        <color rgb="FFFF0000"/>
      </font>
      <fill>
        <patternFill>
          <bgColor theme="9" tint="0.79998168889431442"/>
        </patternFill>
      </fill>
    </dxf>
    <dxf>
      <font>
        <color rgb="FFFF0000"/>
      </font>
      <fill>
        <patternFill>
          <bgColor rgb="FFFFFF99"/>
        </patternFill>
      </fill>
    </dxf>
    <dxf>
      <font>
        <color rgb="FFFF0000"/>
      </font>
      <fill>
        <patternFill>
          <bgColor rgb="FFFFFF99"/>
        </patternFill>
      </fill>
    </dxf>
    <dxf>
      <font>
        <color rgb="FFFF0000"/>
      </font>
      <fill>
        <patternFill>
          <bgColor theme="9" tint="0.79998168889431442"/>
        </patternFill>
      </fill>
    </dxf>
    <dxf>
      <font>
        <color rgb="FF002060"/>
      </font>
      <fill>
        <patternFill>
          <bgColor theme="8" tint="0.79998168889431442"/>
        </patternFill>
      </fill>
    </dxf>
    <dxf>
      <font>
        <color rgb="FFFF0000"/>
      </font>
    </dxf>
    <dxf>
      <font>
        <color rgb="FFFF0000"/>
      </font>
    </dxf>
    <dxf>
      <font>
        <color rgb="FF002060"/>
      </font>
      <fill>
        <patternFill>
          <bgColor theme="8" tint="0.79998168889431442"/>
        </patternFill>
      </fill>
    </dxf>
    <dxf>
      <font>
        <color rgb="FFFF0000"/>
      </font>
      <fill>
        <patternFill>
          <bgColor theme="9" tint="0.79998168889431442"/>
        </patternFill>
      </fill>
    </dxf>
    <dxf>
      <font>
        <color rgb="FF002060"/>
      </font>
      <fill>
        <patternFill>
          <bgColor theme="8" tint="0.79998168889431442"/>
        </patternFill>
      </fill>
    </dxf>
    <dxf>
      <font>
        <color rgb="FFFF0000"/>
      </font>
      <fill>
        <patternFill>
          <bgColor theme="9" tint="0.79998168889431442"/>
        </patternFill>
      </fill>
    </dxf>
    <dxf>
      <font>
        <condense val="0"/>
        <extend val="0"/>
        <color indexed="10"/>
      </font>
    </dxf>
    <dxf>
      <font>
        <condense val="0"/>
        <extend val="0"/>
        <color indexed="10"/>
      </font>
    </dxf>
    <dxf>
      <font>
        <condense val="0"/>
        <extend val="0"/>
        <color indexed="55"/>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1</xdr:col>
      <xdr:colOff>38100</xdr:colOff>
      <xdr:row>6</xdr:row>
      <xdr:rowOff>0</xdr:rowOff>
    </xdr:from>
    <xdr:to>
      <xdr:col>7</xdr:col>
      <xdr:colOff>133350</xdr:colOff>
      <xdr:row>11</xdr:row>
      <xdr:rowOff>123825</xdr:rowOff>
    </xdr:to>
    <xdr:sp macro="" textlink="">
      <xdr:nvSpPr>
        <xdr:cNvPr id="2" name="Text Box 24">
          <a:extLst>
            <a:ext uri="{FF2B5EF4-FFF2-40B4-BE49-F238E27FC236}">
              <a16:creationId xmlns:a16="http://schemas.microsoft.com/office/drawing/2014/main" id="{00000000-0008-0000-0000-000002000000}"/>
            </a:ext>
          </a:extLst>
        </xdr:cNvPr>
        <xdr:cNvSpPr txBox="1">
          <a:spLocks noChangeArrowheads="1"/>
        </xdr:cNvSpPr>
      </xdr:nvSpPr>
      <xdr:spPr bwMode="auto">
        <a:xfrm>
          <a:off x="66675" y="790575"/>
          <a:ext cx="1866900" cy="180975"/>
        </a:xfrm>
        <a:prstGeom prst="rect">
          <a:avLst/>
        </a:prstGeom>
        <a:solidFill>
          <a:srgbClr val="FF99CC"/>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000" b="0" i="0" u="none" strike="noStrike" baseline="0">
              <a:solidFill>
                <a:srgbClr val="0000FF"/>
              </a:solidFill>
              <a:latin typeface="ＭＳ Ｐゴシック"/>
              <a:ea typeface="ＭＳ Ｐゴシック"/>
            </a:rPr>
            <a:t>白いセルを記入してください。</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0</xdr:row>
          <xdr:rowOff>104775</xdr:rowOff>
        </xdr:from>
        <xdr:to>
          <xdr:col>4</xdr:col>
          <xdr:colOff>104775</xdr:colOff>
          <xdr:row>1</xdr:row>
          <xdr:rowOff>123825</xdr:rowOff>
        </xdr:to>
        <xdr:sp macro="" textlink="">
          <xdr:nvSpPr>
            <xdr:cNvPr id="1025" name="btnChkAllDay"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152400</xdr:rowOff>
        </xdr:from>
        <xdr:to>
          <xdr:col>4</xdr:col>
          <xdr:colOff>104775</xdr:colOff>
          <xdr:row>2</xdr:row>
          <xdr:rowOff>171450</xdr:rowOff>
        </xdr:to>
        <xdr:sp macro="" textlink="">
          <xdr:nvSpPr>
            <xdr:cNvPr id="1026" name="btnInitializ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76200</xdr:colOff>
          <xdr:row>3</xdr:row>
          <xdr:rowOff>38100</xdr:rowOff>
        </xdr:from>
        <xdr:to>
          <xdr:col>8</xdr:col>
          <xdr:colOff>1162050</xdr:colOff>
          <xdr:row>12</xdr:row>
          <xdr:rowOff>0</xdr:rowOff>
        </xdr:to>
        <xdr:sp macro="" textlink="">
          <xdr:nvSpPr>
            <xdr:cNvPr id="1027" name="btnSagyoHoukokusho"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171450</xdr:colOff>
          <xdr:row>1</xdr:row>
          <xdr:rowOff>152400</xdr:rowOff>
        </xdr:from>
        <xdr:to>
          <xdr:col>44</xdr:col>
          <xdr:colOff>228600</xdr:colOff>
          <xdr:row>2</xdr:row>
          <xdr:rowOff>209550</xdr:rowOff>
        </xdr:to>
        <xdr:sp macro="" textlink="">
          <xdr:nvSpPr>
            <xdr:cNvPr id="1028" name="btnCreateCsv"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171450</xdr:colOff>
          <xdr:row>0</xdr:row>
          <xdr:rowOff>76200</xdr:rowOff>
        </xdr:from>
        <xdr:to>
          <xdr:col>44</xdr:col>
          <xdr:colOff>228600</xdr:colOff>
          <xdr:row>1</xdr:row>
          <xdr:rowOff>133350</xdr:rowOff>
        </xdr:to>
        <xdr:sp macro="" textlink="">
          <xdr:nvSpPr>
            <xdr:cNvPr id="1029" name="btnReadCsv"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6</xdr:row>
          <xdr:rowOff>95250</xdr:rowOff>
        </xdr:from>
        <xdr:to>
          <xdr:col>1</xdr:col>
          <xdr:colOff>3781425</xdr:colOff>
          <xdr:row>13</xdr:row>
          <xdr:rowOff>85725</xdr:rowOff>
        </xdr:to>
        <xdr:sp macro="" textlink="">
          <xdr:nvSpPr>
            <xdr:cNvPr id="2049" name="btnIkkatsuCsv"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6</xdr:row>
          <xdr:rowOff>95250</xdr:rowOff>
        </xdr:from>
        <xdr:to>
          <xdr:col>1</xdr:col>
          <xdr:colOff>3781425</xdr:colOff>
          <xdr:row>13</xdr:row>
          <xdr:rowOff>85725</xdr:rowOff>
        </xdr:to>
        <xdr:sp macro="" textlink="">
          <xdr:nvSpPr>
            <xdr:cNvPr id="3073" name="btnCsvTorikomi"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3</xdr:row>
          <xdr:rowOff>19050</xdr:rowOff>
        </xdr:from>
        <xdr:to>
          <xdr:col>6</xdr:col>
          <xdr:colOff>352425</xdr:colOff>
          <xdr:row>10</xdr:row>
          <xdr:rowOff>9525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1</xdr:row>
      <xdr:rowOff>295275</xdr:rowOff>
    </xdr:from>
    <xdr:to>
      <xdr:col>0</xdr:col>
      <xdr:colOff>0</xdr:colOff>
      <xdr:row>42</xdr:row>
      <xdr:rowOff>123825</xdr:rowOff>
    </xdr:to>
    <xdr:sp macro="" textlink="">
      <xdr:nvSpPr>
        <xdr:cNvPr id="2" name="AutoShape 1">
          <a:extLst>
            <a:ext uri="{FF2B5EF4-FFF2-40B4-BE49-F238E27FC236}">
              <a16:creationId xmlns:a16="http://schemas.microsoft.com/office/drawing/2014/main" id="{00000000-0008-0000-0600-000002000000}"/>
            </a:ext>
          </a:extLst>
        </xdr:cNvPr>
        <xdr:cNvSpPr>
          <a:spLocks noChangeArrowheads="1"/>
        </xdr:cNvSpPr>
      </xdr:nvSpPr>
      <xdr:spPr bwMode="auto">
        <a:xfrm>
          <a:off x="0" y="285750"/>
          <a:ext cx="0" cy="6943725"/>
        </a:xfrm>
        <a:prstGeom prst="roundRect">
          <a:avLst>
            <a:gd name="adj" fmla="val 16667"/>
          </a:avLst>
        </a:prstGeom>
        <a:solidFill>
          <a:srgbClr val="FFFF00">
            <a:alpha val="50000"/>
          </a:srgbClr>
        </a:solidFill>
        <a:ln w="9525">
          <a:solidFill>
            <a:srgbClr val="000000"/>
          </a:solidFill>
          <a:round/>
          <a:headEnd/>
          <a:tailEnd/>
        </a:ln>
      </xdr:spPr>
      <xdr:txBody>
        <a:bodyPr vertOverflow="clip" vert="wordArtVertRtl" wrap="square" lIns="54864" tIns="0" rIns="54864" bIns="0" anchor="ctr" upright="1"/>
        <a:lstStyle/>
        <a:p>
          <a:pPr algn="ctr" rtl="0">
            <a:defRPr sz="1000"/>
          </a:pPr>
          <a:r>
            <a:rPr lang="ja-JP" altLang="en-US" sz="2800" b="1" i="0" u="none" strike="noStrike" baseline="0">
              <a:solidFill>
                <a:srgbClr val="0000FF"/>
              </a:solidFill>
              <a:latin typeface="ＭＳ Ｐゴシック"/>
              <a:ea typeface="ＭＳ Ｐゴシック"/>
            </a:rPr>
            <a:t>別シート</a:t>
          </a:r>
        </a:p>
      </xdr:txBody>
    </xdr:sp>
    <xdr:clientData/>
  </xdr:twoCellAnchor>
  <xdr:twoCellAnchor>
    <xdr:from>
      <xdr:col>0</xdr:col>
      <xdr:colOff>0</xdr:colOff>
      <xdr:row>2</xdr:row>
      <xdr:rowOff>152400</xdr:rowOff>
    </xdr:from>
    <xdr:to>
      <xdr:col>0</xdr:col>
      <xdr:colOff>0</xdr:colOff>
      <xdr:row>10</xdr:row>
      <xdr:rowOff>171450</xdr:rowOff>
    </xdr:to>
    <xdr:sp macro="" textlink="">
      <xdr:nvSpPr>
        <xdr:cNvPr id="3" name="AutoShape 2">
          <a:extLst>
            <a:ext uri="{FF2B5EF4-FFF2-40B4-BE49-F238E27FC236}">
              <a16:creationId xmlns:a16="http://schemas.microsoft.com/office/drawing/2014/main" id="{00000000-0008-0000-0600-000003000000}"/>
            </a:ext>
          </a:extLst>
        </xdr:cNvPr>
        <xdr:cNvSpPr>
          <a:spLocks noChangeArrowheads="1"/>
        </xdr:cNvSpPr>
      </xdr:nvSpPr>
      <xdr:spPr bwMode="auto">
        <a:xfrm>
          <a:off x="0" y="438150"/>
          <a:ext cx="0" cy="1543050"/>
        </a:xfrm>
        <a:prstGeom prst="roundRect">
          <a:avLst>
            <a:gd name="adj" fmla="val 16667"/>
          </a:avLst>
        </a:prstGeom>
        <a:solidFill>
          <a:srgbClr val="FFFF00">
            <a:alpha val="80000"/>
          </a:srgbClr>
        </a:solidFill>
        <a:ln w="9525">
          <a:solidFill>
            <a:srgbClr val="000000"/>
          </a:solidFill>
          <a:round/>
          <a:headEnd/>
          <a:tailEnd/>
        </a:ln>
      </xdr:spPr>
      <xdr:txBody>
        <a:bodyPr vertOverflow="clip" wrap="square" lIns="36576" tIns="18288" rIns="36576" bIns="18288" anchor="ctr" upright="1"/>
        <a:lstStyle/>
        <a:p>
          <a:pPr algn="ctr" rtl="0">
            <a:defRPr sz="1000"/>
          </a:pPr>
          <a:r>
            <a:rPr lang="en-US" altLang="ja-JP" sz="1100" b="1" i="0" u="none" strike="sngStrike" baseline="0">
              <a:solidFill>
                <a:srgbClr val="0000FF"/>
              </a:solidFill>
              <a:latin typeface="ＭＳ Ｐゴシック"/>
              <a:ea typeface="ＭＳ Ｐゴシック"/>
            </a:rPr>
            <a:t>RangeName="</a:t>
          </a:r>
          <a:r>
            <a:rPr lang="ja-JP" altLang="en-US" sz="1100" b="1" i="0" u="none" strike="sngStrike" baseline="0">
              <a:solidFill>
                <a:srgbClr val="0000FF"/>
              </a:solidFill>
              <a:latin typeface="ＭＳ Ｐゴシック"/>
              <a:ea typeface="ＭＳ Ｐゴシック"/>
            </a:rPr>
            <a:t>プロジェクトｺｰﾄﾞ</a:t>
          </a:r>
          <a:r>
            <a:rPr lang="en-US" altLang="ja-JP" sz="1100" b="1" i="0" u="none" strike="sngStrike" baseline="0">
              <a:solidFill>
                <a:srgbClr val="0000FF"/>
              </a:solidFill>
              <a:latin typeface="ＭＳ Ｐゴシック"/>
              <a:ea typeface="ＭＳ Ｐゴシック"/>
            </a:rPr>
            <a:t>"</a:t>
          </a:r>
        </a:p>
        <a:p>
          <a:pPr algn="ctr" rtl="0">
            <a:defRPr sz="1000"/>
          </a:pPr>
          <a:endParaRPr lang="en-US" altLang="ja-JP" sz="1100" b="1" i="0" u="none" strike="sngStrike" baseline="0">
            <a:solidFill>
              <a:srgbClr val="0000FF"/>
            </a:solidFill>
            <a:latin typeface="ＭＳ Ｐゴシック"/>
            <a:ea typeface="ＭＳ Ｐゴシック"/>
          </a:endParaRPr>
        </a:p>
        <a:p>
          <a:pPr algn="ctr" rtl="0">
            <a:defRPr sz="1000"/>
          </a:pPr>
          <a:r>
            <a:rPr lang="ja-JP" altLang="en-US" sz="1100" b="1" i="0" u="none" strike="sngStrike" baseline="0">
              <a:solidFill>
                <a:srgbClr val="0000FF"/>
              </a:solidFill>
              <a:latin typeface="ＭＳ Ｐゴシック"/>
              <a:ea typeface="ＭＳ Ｐゴシック"/>
            </a:rPr>
            <a:t>「作業日報」の「プロジェクト」列</a:t>
          </a:r>
        </a:p>
        <a:p>
          <a:pPr algn="ctr" rtl="0">
            <a:defRPr sz="1000"/>
          </a:pPr>
          <a:r>
            <a:rPr lang="ja-JP" altLang="en-US" sz="1100" b="1" i="0" u="none" strike="sngStrike" baseline="0">
              <a:solidFill>
                <a:srgbClr val="0000FF"/>
              </a:solidFill>
              <a:latin typeface="ＭＳ Ｐゴシック"/>
              <a:ea typeface="ＭＳ Ｐゴシック"/>
            </a:rPr>
            <a:t>で使用</a:t>
          </a:r>
        </a:p>
      </xdr:txBody>
    </xdr:sp>
    <xdr:clientData/>
  </xdr:twoCellAnchor>
  <xdr:twoCellAnchor>
    <xdr:from>
      <xdr:col>0</xdr:col>
      <xdr:colOff>0</xdr:colOff>
      <xdr:row>9</xdr:row>
      <xdr:rowOff>19050</xdr:rowOff>
    </xdr:from>
    <xdr:to>
      <xdr:col>0</xdr:col>
      <xdr:colOff>0</xdr:colOff>
      <xdr:row>17</xdr:row>
      <xdr:rowOff>28575</xdr:rowOff>
    </xdr:to>
    <xdr:sp macro="" textlink="">
      <xdr:nvSpPr>
        <xdr:cNvPr id="4" name="AutoShape 3">
          <a:extLst>
            <a:ext uri="{FF2B5EF4-FFF2-40B4-BE49-F238E27FC236}">
              <a16:creationId xmlns:a16="http://schemas.microsoft.com/office/drawing/2014/main" id="{00000000-0008-0000-0600-000004000000}"/>
            </a:ext>
          </a:extLst>
        </xdr:cNvPr>
        <xdr:cNvSpPr>
          <a:spLocks noChangeArrowheads="1"/>
        </xdr:cNvSpPr>
      </xdr:nvSpPr>
      <xdr:spPr bwMode="auto">
        <a:xfrm>
          <a:off x="0" y="1647825"/>
          <a:ext cx="0" cy="1876425"/>
        </a:xfrm>
        <a:prstGeom prst="roundRect">
          <a:avLst>
            <a:gd name="adj" fmla="val 16667"/>
          </a:avLst>
        </a:prstGeom>
        <a:solidFill>
          <a:srgbClr val="FFFF00">
            <a:alpha val="70000"/>
          </a:srgbClr>
        </a:solidFill>
        <a:ln w="9525">
          <a:solidFill>
            <a:srgbClr val="000000"/>
          </a:solidFill>
          <a:round/>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FF"/>
              </a:solidFill>
              <a:latin typeface="ＭＳ Ｐゴシック"/>
              <a:ea typeface="ＭＳ Ｐゴシック"/>
            </a:rPr>
            <a:t>日報</a:t>
          </a:r>
          <a:r>
            <a:rPr lang="en-US" altLang="ja-JP" sz="1100" b="1" i="0" u="none" strike="noStrike" baseline="0">
              <a:solidFill>
                <a:srgbClr val="0000FF"/>
              </a:solidFill>
              <a:latin typeface="ＭＳ Ｐゴシック"/>
              <a:ea typeface="ＭＳ Ｐゴシック"/>
            </a:rPr>
            <a:t>EXCEL</a:t>
          </a:r>
          <a:r>
            <a:rPr lang="ja-JP" altLang="en-US" sz="1100" b="1" i="0" u="none" strike="noStrike" baseline="0">
              <a:solidFill>
                <a:srgbClr val="0000FF"/>
              </a:solidFill>
              <a:latin typeface="ＭＳ Ｐゴシック"/>
              <a:ea typeface="ＭＳ Ｐゴシック"/>
            </a:rPr>
            <a:t>の</a:t>
          </a:r>
        </a:p>
        <a:p>
          <a:pPr algn="ctr" rtl="0">
            <a:defRPr sz="1000"/>
          </a:pPr>
          <a:r>
            <a:rPr lang="ja-JP" altLang="en-US" sz="1100" b="1" i="0" u="none" strike="noStrike" baseline="0">
              <a:solidFill>
                <a:srgbClr val="0000FF"/>
              </a:solidFill>
              <a:latin typeface="ＭＳ Ｐゴシック"/>
              <a:ea typeface="ＭＳ Ｐゴシック"/>
            </a:rPr>
            <a:t>所属欄（</a:t>
          </a:r>
          <a:r>
            <a:rPr lang="en-US" altLang="ja-JP" sz="1100" b="1" i="0" u="none" strike="noStrike" baseline="0">
              <a:solidFill>
                <a:srgbClr val="0000FF"/>
              </a:solidFill>
              <a:latin typeface="ＭＳ Ｐゴシック"/>
              <a:ea typeface="ＭＳ Ｐゴシック"/>
            </a:rPr>
            <a:t>AV2</a:t>
          </a:r>
          <a:r>
            <a:rPr lang="ja-JP" altLang="en-US" sz="1100" b="1" i="0" u="none" strike="noStrike" baseline="0">
              <a:solidFill>
                <a:srgbClr val="0000FF"/>
              </a:solidFill>
              <a:latin typeface="ＭＳ Ｐゴシック"/>
              <a:ea typeface="ＭＳ Ｐゴシック"/>
            </a:rPr>
            <a:t>セル）に</a:t>
          </a:r>
        </a:p>
        <a:p>
          <a:pPr algn="ctr" rtl="0">
            <a:defRPr sz="1000"/>
          </a:pPr>
          <a:r>
            <a:rPr lang="ja-JP" altLang="en-US" sz="1100" b="1" i="0" u="none" strike="noStrike" baseline="0">
              <a:solidFill>
                <a:srgbClr val="0000FF"/>
              </a:solidFill>
              <a:latin typeface="ＭＳ Ｐゴシック"/>
              <a:ea typeface="ＭＳ Ｐゴシック"/>
            </a:rPr>
            <a:t>セットされる</a:t>
          </a:r>
        </a:p>
      </xdr:txBody>
    </xdr:sp>
    <xdr:clientData/>
  </xdr:twoCellAnchor>
  <xdr:twoCellAnchor>
    <xdr:from>
      <xdr:col>0</xdr:col>
      <xdr:colOff>0</xdr:colOff>
      <xdr:row>9</xdr:row>
      <xdr:rowOff>0</xdr:rowOff>
    </xdr:from>
    <xdr:to>
      <xdr:col>0</xdr:col>
      <xdr:colOff>0</xdr:colOff>
      <xdr:row>17</xdr:row>
      <xdr:rowOff>9525</xdr:rowOff>
    </xdr:to>
    <xdr:sp macro="" textlink="">
      <xdr:nvSpPr>
        <xdr:cNvPr id="5" name="AutoShape 4">
          <a:extLst>
            <a:ext uri="{FF2B5EF4-FFF2-40B4-BE49-F238E27FC236}">
              <a16:creationId xmlns:a16="http://schemas.microsoft.com/office/drawing/2014/main" id="{00000000-0008-0000-0600-000005000000}"/>
            </a:ext>
          </a:extLst>
        </xdr:cNvPr>
        <xdr:cNvSpPr>
          <a:spLocks noChangeArrowheads="1"/>
        </xdr:cNvSpPr>
      </xdr:nvSpPr>
      <xdr:spPr bwMode="auto">
        <a:xfrm>
          <a:off x="0" y="1628775"/>
          <a:ext cx="0" cy="1876425"/>
        </a:xfrm>
        <a:prstGeom prst="roundRect">
          <a:avLst>
            <a:gd name="adj" fmla="val 16667"/>
          </a:avLst>
        </a:prstGeom>
        <a:solidFill>
          <a:srgbClr val="FFFF00">
            <a:alpha val="70000"/>
          </a:srgbClr>
        </a:solidFill>
        <a:ln w="9525">
          <a:solidFill>
            <a:srgbClr val="000000"/>
          </a:solidFill>
          <a:round/>
          <a:headEnd/>
          <a:tailEnd/>
        </a:ln>
      </xdr:spPr>
      <xdr:txBody>
        <a:bodyPr vertOverflow="clip" wrap="square" lIns="27432" tIns="18288" rIns="27432" bIns="18288" anchor="ctr" upright="1"/>
        <a:lstStyle/>
        <a:p>
          <a:pPr algn="ctr" rtl="0">
            <a:defRPr sz="1000"/>
          </a:pPr>
          <a:r>
            <a:rPr lang="en-US" altLang="ja-JP" sz="800" b="1" i="0" u="none" strike="noStrike" baseline="0">
              <a:solidFill>
                <a:srgbClr val="0000FF"/>
              </a:solidFill>
              <a:latin typeface="ＭＳ Ｐゴシック"/>
              <a:ea typeface="ＭＳ Ｐゴシック"/>
            </a:rPr>
            <a:t>RangeName="</a:t>
          </a:r>
          <a:r>
            <a:rPr lang="ja-JP" altLang="en-US" sz="800" b="1" i="0" u="none" strike="noStrike" baseline="0">
              <a:solidFill>
                <a:srgbClr val="0000FF"/>
              </a:solidFill>
              <a:latin typeface="ＭＳ Ｐゴシック"/>
              <a:ea typeface="ＭＳ Ｐゴシック"/>
            </a:rPr>
            <a:t>プロジェクト名</a:t>
          </a:r>
          <a:r>
            <a:rPr lang="en-US" altLang="ja-JP" sz="800" b="1" i="0" u="none" strike="noStrike" baseline="0">
              <a:solidFill>
                <a:srgbClr val="0000FF"/>
              </a:solidFill>
              <a:latin typeface="ＭＳ Ｐゴシック"/>
              <a:ea typeface="ＭＳ Ｐゴシック"/>
            </a:rPr>
            <a:t>_</a:t>
          </a:r>
          <a:r>
            <a:rPr lang="ja-JP" altLang="en-US" sz="800" b="1" i="0" u="none" strike="noStrike" baseline="0">
              <a:solidFill>
                <a:srgbClr val="0000FF"/>
              </a:solidFill>
              <a:latin typeface="ＭＳ Ｐゴシック"/>
              <a:ea typeface="ＭＳ Ｐゴシック"/>
            </a:rPr>
            <a:t>正式</a:t>
          </a:r>
          <a:r>
            <a:rPr lang="en-US" altLang="ja-JP" sz="800" b="1" i="0" u="none" strike="noStrike" baseline="0">
              <a:solidFill>
                <a:srgbClr val="0000FF"/>
              </a:solidFill>
              <a:latin typeface="ＭＳ Ｐゴシック"/>
              <a:ea typeface="ＭＳ Ｐゴシック"/>
            </a:rPr>
            <a:t>"</a:t>
          </a:r>
        </a:p>
        <a:p>
          <a:pPr algn="ctr" rtl="0">
            <a:defRPr sz="1000"/>
          </a:pPr>
          <a:endParaRPr lang="en-US" altLang="ja-JP" sz="800" b="1" i="0" u="none" strike="noStrike" baseline="0">
            <a:solidFill>
              <a:srgbClr val="0000FF"/>
            </a:solidFill>
            <a:latin typeface="ＭＳ Ｐゴシック"/>
            <a:ea typeface="ＭＳ Ｐゴシック"/>
          </a:endParaRPr>
        </a:p>
        <a:p>
          <a:pPr algn="ctr" rtl="0">
            <a:defRPr sz="1000"/>
          </a:pPr>
          <a:r>
            <a:rPr lang="ja-JP" altLang="en-US" sz="800" b="1" i="0" u="none" strike="noStrike" baseline="0">
              <a:solidFill>
                <a:srgbClr val="0000FF"/>
              </a:solidFill>
              <a:latin typeface="ＭＳ Ｐゴシック"/>
              <a:ea typeface="ＭＳ Ｐゴシック"/>
            </a:rPr>
            <a:t>「作業日報」の「</a:t>
          </a:r>
          <a:r>
            <a:rPr lang="en-US" altLang="ja-JP" sz="800" b="1" i="0" u="none" strike="noStrike" baseline="0">
              <a:solidFill>
                <a:srgbClr val="0000FF"/>
              </a:solidFill>
              <a:latin typeface="ＭＳ Ｐゴシック"/>
              <a:ea typeface="ＭＳ Ｐゴシック"/>
            </a:rPr>
            <a:t>L2</a:t>
          </a:r>
          <a:r>
            <a:rPr lang="ja-JP" altLang="en-US" sz="800" b="1" i="0" u="none" strike="noStrike" baseline="0">
              <a:solidFill>
                <a:srgbClr val="0000FF"/>
              </a:solidFill>
              <a:latin typeface="ＭＳ Ｐゴシック"/>
              <a:ea typeface="ＭＳ Ｐゴシック"/>
            </a:rPr>
            <a:t>」セル</a:t>
          </a:r>
        </a:p>
        <a:p>
          <a:pPr algn="ctr" rtl="0">
            <a:defRPr sz="1000"/>
          </a:pPr>
          <a:r>
            <a:rPr lang="ja-JP" altLang="en-US" sz="800" b="1" i="0" u="none" strike="noStrike" baseline="0">
              <a:solidFill>
                <a:srgbClr val="0000FF"/>
              </a:solidFill>
              <a:latin typeface="ＭＳ Ｐゴシック"/>
              <a:ea typeface="ＭＳ Ｐゴシック"/>
            </a:rPr>
            <a:t>で使用</a:t>
          </a:r>
        </a:p>
        <a:p>
          <a:pPr algn="ctr" rtl="0">
            <a:defRPr sz="1000"/>
          </a:pPr>
          <a:r>
            <a:rPr lang="ja-JP" altLang="en-US" sz="800" b="1" i="0" u="none" strike="noStrike" baseline="0">
              <a:solidFill>
                <a:srgbClr val="0000FF"/>
              </a:solidFill>
              <a:latin typeface="ＭＳ Ｐゴシック"/>
              <a:ea typeface="ＭＳ Ｐゴシック"/>
            </a:rPr>
            <a:t>「作業日報」の「プロジェクト」列</a:t>
          </a:r>
        </a:p>
        <a:p>
          <a:pPr algn="ctr" rtl="0">
            <a:defRPr sz="1000"/>
          </a:pPr>
          <a:r>
            <a:rPr lang="ja-JP" altLang="en-US" sz="800" b="1" i="0" u="none" strike="noStrike" baseline="0">
              <a:solidFill>
                <a:srgbClr val="0000FF"/>
              </a:solidFill>
              <a:latin typeface="ＭＳ Ｐゴシック"/>
              <a:ea typeface="ＭＳ Ｐゴシック"/>
            </a:rPr>
            <a:t>で使用</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3</xdr:col>
      <xdr:colOff>628650</xdr:colOff>
      <xdr:row>2</xdr:row>
      <xdr:rowOff>28575</xdr:rowOff>
    </xdr:from>
    <xdr:ext cx="3326808" cy="1302151"/>
    <xdr:sp macro="" textlink="">
      <xdr:nvSpPr>
        <xdr:cNvPr id="2" name="AutoShape 1">
          <a:extLst>
            <a:ext uri="{FF2B5EF4-FFF2-40B4-BE49-F238E27FC236}">
              <a16:creationId xmlns:a16="http://schemas.microsoft.com/office/drawing/2014/main" id="{00000000-0008-0000-0800-000002000000}"/>
            </a:ext>
          </a:extLst>
        </xdr:cNvPr>
        <xdr:cNvSpPr>
          <a:spLocks/>
        </xdr:cNvSpPr>
      </xdr:nvSpPr>
      <xdr:spPr bwMode="auto">
        <a:xfrm>
          <a:off x="3933825" y="371475"/>
          <a:ext cx="3326808" cy="1302151"/>
        </a:xfrm>
        <a:prstGeom prst="borderCallout2">
          <a:avLst>
            <a:gd name="adj1" fmla="val 9301"/>
            <a:gd name="adj2" fmla="val -2218"/>
            <a:gd name="adj3" fmla="val 9301"/>
            <a:gd name="adj4" fmla="val -15236"/>
            <a:gd name="adj5" fmla="val 22481"/>
            <a:gd name="adj6" fmla="val -26037"/>
          </a:avLst>
        </a:prstGeom>
        <a:solidFill>
          <a:srgbClr val="CCFFFF"/>
        </a:solidFill>
        <a:ln w="9525">
          <a:solidFill>
            <a:srgbClr val="000000"/>
          </a:solid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表示用には、「工程コード：工程名」を入れる。（：は全角）</a:t>
          </a:r>
        </a:p>
        <a:p>
          <a:pPr algn="l" rtl="0">
            <a:defRPr sz="1000"/>
          </a:pPr>
          <a:endParaRPr lang="ja-JP" altLang="en-US" sz="1100" b="0" i="0" u="none" strike="noStrike" baseline="0">
            <a:solidFill>
              <a:srgbClr val="000000"/>
            </a:solidFill>
            <a:latin typeface="ＭＳ Ｐゴシック"/>
            <a:ea typeface="ＭＳ Ｐゴシック"/>
          </a:endParaRPr>
        </a:p>
        <a:p>
          <a:pPr algn="l" rtl="0">
            <a:defRPr sz="1000"/>
          </a:pPr>
          <a:r>
            <a:rPr lang="ja-JP" altLang="en-US" sz="1100" b="0" i="0" u="none" strike="noStrike" baseline="0">
              <a:solidFill>
                <a:srgbClr val="000000"/>
              </a:solidFill>
              <a:latin typeface="ＭＳ Ｐゴシック"/>
              <a:ea typeface="ＭＳ Ｐゴシック"/>
            </a:rPr>
            <a:t>例）</a:t>
          </a:r>
        </a:p>
        <a:p>
          <a:pPr algn="l" rtl="0">
            <a:defRPr sz="1000"/>
          </a:pPr>
          <a:r>
            <a:rPr lang="ja-JP" altLang="en-US" sz="1100" b="0" i="0" u="none" strike="noStrike" baseline="0">
              <a:solidFill>
                <a:srgbClr val="000000"/>
              </a:solidFill>
              <a:latin typeface="ＭＳ Ｐゴシック"/>
              <a:ea typeface="ＭＳ Ｐゴシック"/>
            </a:rPr>
            <a:t>工程コード＝「</a:t>
          </a:r>
          <a:r>
            <a:rPr lang="en-US" altLang="ja-JP" sz="1100" b="0" i="0" u="none" strike="noStrike" baseline="0">
              <a:solidFill>
                <a:srgbClr val="000000"/>
              </a:solidFill>
              <a:latin typeface="ＭＳ Ｐゴシック"/>
              <a:ea typeface="ＭＳ Ｐゴシック"/>
            </a:rPr>
            <a:t>A1</a:t>
          </a:r>
          <a:r>
            <a:rPr lang="ja-JP" altLang="en-US" sz="1100" b="0" i="0" u="none" strike="noStrike" baseline="0">
              <a:solidFill>
                <a:srgbClr val="000000"/>
              </a:solidFill>
              <a:latin typeface="ＭＳ Ｐゴシック"/>
              <a:ea typeface="ＭＳ Ｐゴシック"/>
            </a:rPr>
            <a:t>」</a:t>
          </a:r>
        </a:p>
        <a:p>
          <a:pPr algn="l" rtl="0">
            <a:defRPr sz="1000"/>
          </a:pPr>
          <a:r>
            <a:rPr lang="ja-JP" altLang="en-US" sz="1100" b="0" i="0" u="none" strike="noStrike" baseline="0">
              <a:solidFill>
                <a:srgbClr val="000000"/>
              </a:solidFill>
              <a:latin typeface="ＭＳ Ｐゴシック"/>
              <a:ea typeface="ＭＳ Ｐゴシック"/>
            </a:rPr>
            <a:t>工程名＝「要件定義」</a:t>
          </a:r>
        </a:p>
        <a:p>
          <a:pPr algn="l" rtl="0">
            <a:defRPr sz="1000"/>
          </a:pPr>
          <a:r>
            <a:rPr lang="ja-JP" altLang="en-US" sz="1100" b="0" i="0" u="none" strike="noStrike" baseline="0">
              <a:solidFill>
                <a:srgbClr val="000000"/>
              </a:solidFill>
              <a:latin typeface="ＭＳ Ｐゴシック"/>
              <a:ea typeface="ＭＳ Ｐゴシック"/>
            </a:rPr>
            <a:t>↓</a:t>
          </a:r>
        </a:p>
        <a:p>
          <a:pPr algn="l" rtl="0">
            <a:defRPr sz="1000"/>
          </a:pPr>
          <a:r>
            <a:rPr lang="ja-JP" altLang="en-US" sz="1100" b="0" i="0" u="none" strike="noStrike" baseline="0">
              <a:solidFill>
                <a:srgbClr val="000000"/>
              </a:solidFill>
              <a:latin typeface="ＭＳ Ｐゴシック"/>
              <a:ea typeface="ＭＳ Ｐゴシック"/>
            </a:rPr>
            <a:t>表示用＝「</a:t>
          </a:r>
          <a:r>
            <a:rPr lang="en-US" altLang="ja-JP" sz="1100" b="0" i="0" u="none" strike="noStrike" baseline="0">
              <a:solidFill>
                <a:srgbClr val="000000"/>
              </a:solidFill>
              <a:latin typeface="ＭＳ Ｐゴシック"/>
              <a:ea typeface="ＭＳ Ｐゴシック"/>
            </a:rPr>
            <a:t>A1</a:t>
          </a:r>
          <a:r>
            <a:rPr lang="ja-JP" altLang="en-US" sz="1100" b="0" i="0" u="none" strike="noStrike" baseline="0">
              <a:solidFill>
                <a:srgbClr val="000000"/>
              </a:solidFill>
              <a:latin typeface="ＭＳ Ｐゴシック"/>
              <a:ea typeface="ＭＳ Ｐゴシック"/>
            </a:rPr>
            <a:t>：要件定義」</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4</xdr:col>
      <xdr:colOff>561975</xdr:colOff>
      <xdr:row>1</xdr:row>
      <xdr:rowOff>0</xdr:rowOff>
    </xdr:from>
    <xdr:ext cx="3708195" cy="1302151"/>
    <xdr:sp macro="" textlink="">
      <xdr:nvSpPr>
        <xdr:cNvPr id="2" name="AutoShape 1">
          <a:extLst>
            <a:ext uri="{FF2B5EF4-FFF2-40B4-BE49-F238E27FC236}">
              <a16:creationId xmlns:a16="http://schemas.microsoft.com/office/drawing/2014/main" id="{00000000-0008-0000-0900-000002000000}"/>
            </a:ext>
          </a:extLst>
        </xdr:cNvPr>
        <xdr:cNvSpPr>
          <a:spLocks/>
        </xdr:cNvSpPr>
      </xdr:nvSpPr>
      <xdr:spPr bwMode="auto">
        <a:xfrm>
          <a:off x="13296900" y="171450"/>
          <a:ext cx="3708195" cy="1302151"/>
        </a:xfrm>
        <a:prstGeom prst="borderCallout2">
          <a:avLst>
            <a:gd name="adj1" fmla="val 9301"/>
            <a:gd name="adj2" fmla="val -2218"/>
            <a:gd name="adj3" fmla="val 9301"/>
            <a:gd name="adj4" fmla="val -15236"/>
            <a:gd name="adj5" fmla="val 22481"/>
            <a:gd name="adj6" fmla="val -26037"/>
          </a:avLst>
        </a:prstGeom>
        <a:solidFill>
          <a:srgbClr val="CCFFFF"/>
        </a:solidFill>
        <a:ln w="9525">
          <a:solidFill>
            <a:srgbClr val="000000"/>
          </a:solid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表示用には、「</a:t>
          </a:r>
          <a:r>
            <a:rPr lang="en-US" altLang="ja-JP" sz="1100" b="0" i="0" u="none" strike="noStrike" baseline="0">
              <a:solidFill>
                <a:srgbClr val="000000"/>
              </a:solidFill>
              <a:latin typeface="ＭＳ Ｐゴシック"/>
              <a:ea typeface="ＭＳ Ｐゴシック"/>
            </a:rPr>
            <a:t>ThemeCode</a:t>
          </a:r>
          <a:r>
            <a:rPr lang="ja-JP" altLang="en-US" sz="1100" b="0" i="0" u="none" strike="noStrike" baseline="0">
              <a:solidFill>
                <a:srgbClr val="000000"/>
              </a:solidFill>
              <a:latin typeface="ＭＳ Ｐゴシック"/>
              <a:ea typeface="ＭＳ Ｐゴシック"/>
            </a:rPr>
            <a:t>：</a:t>
          </a:r>
          <a:r>
            <a:rPr lang="en-US" altLang="ja-JP" sz="1100" b="0" i="0" u="none" strike="noStrike" baseline="0">
              <a:solidFill>
                <a:srgbClr val="000000"/>
              </a:solidFill>
              <a:latin typeface="ＭＳ Ｐゴシック"/>
              <a:ea typeface="ＭＳ Ｐゴシック"/>
            </a:rPr>
            <a:t>ThemeName</a:t>
          </a:r>
          <a:r>
            <a:rPr lang="ja-JP" altLang="en-US" sz="1100" b="0" i="0" u="none" strike="noStrike" baseline="0">
              <a:solidFill>
                <a:srgbClr val="000000"/>
              </a:solidFill>
              <a:latin typeface="ＭＳ Ｐゴシック"/>
              <a:ea typeface="ＭＳ Ｐゴシック"/>
            </a:rPr>
            <a:t>」を入れる。（：は全角）</a:t>
          </a:r>
        </a:p>
        <a:p>
          <a:pPr algn="l" rtl="0">
            <a:defRPr sz="1000"/>
          </a:pPr>
          <a:endParaRPr lang="ja-JP" altLang="en-US" sz="1100" b="0" i="0" u="none" strike="noStrike" baseline="0">
            <a:solidFill>
              <a:srgbClr val="000000"/>
            </a:solidFill>
            <a:latin typeface="ＭＳ Ｐゴシック"/>
            <a:ea typeface="ＭＳ Ｐゴシック"/>
          </a:endParaRPr>
        </a:p>
        <a:p>
          <a:pPr algn="l" rtl="0">
            <a:defRPr sz="1000"/>
          </a:pPr>
          <a:r>
            <a:rPr lang="ja-JP" altLang="en-US" sz="1100" b="0" i="0" u="none" strike="noStrike" baseline="0">
              <a:solidFill>
                <a:srgbClr val="000000"/>
              </a:solidFill>
              <a:latin typeface="ＭＳ Ｐゴシック"/>
              <a:ea typeface="ＭＳ Ｐゴシック"/>
            </a:rPr>
            <a:t>例）</a:t>
          </a:r>
        </a:p>
        <a:p>
          <a:pPr algn="l" rtl="0">
            <a:defRPr sz="1000"/>
          </a:pPr>
          <a:r>
            <a:rPr lang="en-US" altLang="ja-JP" sz="1100" b="0" i="0" u="none" strike="noStrike" baseline="0">
              <a:solidFill>
                <a:srgbClr val="000000"/>
              </a:solidFill>
              <a:latin typeface="ＭＳ Ｐゴシック"/>
              <a:ea typeface="ＭＳ Ｐゴシック"/>
            </a:rPr>
            <a:t>ThemeCode</a:t>
          </a:r>
          <a:r>
            <a:rPr lang="ja-JP" altLang="en-US" sz="1100" b="0" i="0" u="none" strike="noStrike" baseline="0">
              <a:solidFill>
                <a:srgbClr val="000000"/>
              </a:solidFill>
              <a:latin typeface="ＭＳ Ｐゴシック"/>
              <a:ea typeface="ＭＳ Ｐゴシック"/>
            </a:rPr>
            <a:t>＝「</a:t>
          </a:r>
          <a:r>
            <a:rPr lang="en-US" altLang="ja-JP" sz="1100" b="0" i="0" u="none" strike="noStrike" baseline="0">
              <a:solidFill>
                <a:srgbClr val="000000"/>
              </a:solidFill>
              <a:latin typeface="ＭＳ Ｐゴシック"/>
              <a:ea typeface="ＭＳ Ｐゴシック"/>
            </a:rPr>
            <a:t>CGS100000</a:t>
          </a:r>
          <a:r>
            <a:rPr lang="ja-JP" altLang="en-US" sz="1100" b="0" i="0" u="none" strike="noStrike" baseline="0">
              <a:solidFill>
                <a:srgbClr val="000000"/>
              </a:solidFill>
              <a:latin typeface="ＭＳ Ｐゴシック"/>
              <a:ea typeface="ＭＳ Ｐゴシック"/>
            </a:rPr>
            <a:t>」</a:t>
          </a:r>
        </a:p>
        <a:p>
          <a:pPr algn="l" rtl="0">
            <a:defRPr sz="1000"/>
          </a:pPr>
          <a:r>
            <a:rPr lang="en-US" altLang="ja-JP" sz="1100" b="0" i="0" u="none" strike="noStrike" baseline="0">
              <a:solidFill>
                <a:srgbClr val="000000"/>
              </a:solidFill>
              <a:latin typeface="ＭＳ Ｐゴシック"/>
              <a:ea typeface="ＭＳ Ｐゴシック"/>
            </a:rPr>
            <a:t>ThemeName</a:t>
          </a:r>
          <a:r>
            <a:rPr lang="ja-JP" altLang="en-US" sz="1100" b="0" i="0" u="none" strike="noStrike" baseline="0">
              <a:solidFill>
                <a:srgbClr val="000000"/>
              </a:solidFill>
              <a:latin typeface="ＭＳ Ｐゴシック"/>
              <a:ea typeface="ＭＳ Ｐゴシック"/>
            </a:rPr>
            <a:t>＝「</a:t>
          </a:r>
          <a:r>
            <a:rPr lang="en-US" altLang="ja-JP" sz="1100" b="0" i="0" u="none" strike="noStrike" baseline="0">
              <a:solidFill>
                <a:srgbClr val="000000"/>
              </a:solidFill>
              <a:latin typeface="ＭＳ Ｐゴシック"/>
              <a:ea typeface="ＭＳ Ｐゴシック"/>
            </a:rPr>
            <a:t>【CGS-GW】CGS-GW</a:t>
          </a:r>
          <a:r>
            <a:rPr lang="ja-JP" altLang="en-US" sz="1100" b="0" i="0" u="none" strike="noStrike" baseline="0">
              <a:solidFill>
                <a:srgbClr val="000000"/>
              </a:solidFill>
              <a:latin typeface="ＭＳ Ｐゴシック"/>
              <a:ea typeface="ＭＳ Ｐゴシック"/>
            </a:rPr>
            <a:t>」</a:t>
          </a:r>
        </a:p>
        <a:p>
          <a:pPr algn="l" rtl="0">
            <a:defRPr sz="1000"/>
          </a:pPr>
          <a:r>
            <a:rPr lang="ja-JP" altLang="en-US" sz="1100" b="0" i="0" u="none" strike="noStrike" baseline="0">
              <a:solidFill>
                <a:srgbClr val="000000"/>
              </a:solidFill>
              <a:latin typeface="ＭＳ Ｐゴシック"/>
              <a:ea typeface="ＭＳ Ｐゴシック"/>
            </a:rPr>
            <a:t>↓</a:t>
          </a:r>
        </a:p>
        <a:p>
          <a:pPr algn="l" rtl="0">
            <a:defRPr sz="1000"/>
          </a:pPr>
          <a:r>
            <a:rPr lang="ja-JP" altLang="en-US" sz="1100" b="0" i="0" u="none" strike="noStrike" baseline="0">
              <a:solidFill>
                <a:srgbClr val="000000"/>
              </a:solidFill>
              <a:latin typeface="ＭＳ Ｐゴシック"/>
              <a:ea typeface="ＭＳ Ｐゴシック"/>
            </a:rPr>
            <a:t>表示名＝「</a:t>
          </a:r>
          <a:r>
            <a:rPr lang="en-US" altLang="ja-JP" sz="1100" b="0" i="0" u="none" strike="noStrike" baseline="0">
              <a:solidFill>
                <a:srgbClr val="000000"/>
              </a:solidFill>
              <a:latin typeface="ＭＳ Ｐゴシック"/>
              <a:ea typeface="ＭＳ Ｐゴシック"/>
            </a:rPr>
            <a:t>CGS100000</a:t>
          </a:r>
          <a:r>
            <a:rPr lang="ja-JP" altLang="en-US" sz="1100" b="0" i="0" u="none" strike="noStrike" baseline="0">
              <a:solidFill>
                <a:srgbClr val="000000"/>
              </a:solidFill>
              <a:latin typeface="ＭＳ Ｐゴシック"/>
              <a:ea typeface="ＭＳ Ｐゴシック"/>
            </a:rPr>
            <a:t>：</a:t>
          </a:r>
          <a:r>
            <a:rPr lang="en-US" altLang="ja-JP" sz="1100" b="0" i="0" u="none" strike="noStrike" baseline="0">
              <a:solidFill>
                <a:srgbClr val="000000"/>
              </a:solidFill>
              <a:latin typeface="ＭＳ Ｐゴシック"/>
              <a:ea typeface="ＭＳ Ｐゴシック"/>
            </a:rPr>
            <a:t>【CGS-GW】CGS-GW</a:t>
          </a:r>
          <a:r>
            <a:rPr lang="ja-JP" altLang="en-US" sz="1100" b="0" i="0" u="none" strike="noStrike" baseline="0">
              <a:solidFill>
                <a:srgbClr val="000000"/>
              </a:solidFill>
              <a:latin typeface="ＭＳ Ｐゴシック"/>
              <a:ea typeface="ＭＳ Ｐゴシック"/>
            </a:rPr>
            <a:t>」</a:t>
          </a:r>
        </a:p>
      </xdr:txBody>
    </xdr:sp>
    <xdr:clientData/>
  </xdr:oneCellAnchor>
</xdr:wsDr>
</file>

<file path=xl/drawings/drawing8.xml><?xml version="1.0" encoding="utf-8"?>
<xdr:wsDr xmlns:xdr="http://schemas.openxmlformats.org/drawingml/2006/spreadsheetDrawing" xmlns:a="http://schemas.openxmlformats.org/drawingml/2006/main">
  <xdr:oneCellAnchor>
    <xdr:from>
      <xdr:col>4</xdr:col>
      <xdr:colOff>123825</xdr:colOff>
      <xdr:row>3</xdr:row>
      <xdr:rowOff>19050</xdr:rowOff>
    </xdr:from>
    <xdr:ext cx="3326808" cy="1302151"/>
    <xdr:sp macro="" textlink="">
      <xdr:nvSpPr>
        <xdr:cNvPr id="2" name="AutoShape 1">
          <a:extLst>
            <a:ext uri="{FF2B5EF4-FFF2-40B4-BE49-F238E27FC236}">
              <a16:creationId xmlns:a16="http://schemas.microsoft.com/office/drawing/2014/main" id="{00000000-0008-0000-0A00-000002000000}"/>
            </a:ext>
          </a:extLst>
        </xdr:cNvPr>
        <xdr:cNvSpPr>
          <a:spLocks/>
        </xdr:cNvSpPr>
      </xdr:nvSpPr>
      <xdr:spPr bwMode="auto">
        <a:xfrm>
          <a:off x="4181475" y="533400"/>
          <a:ext cx="3326808" cy="1302151"/>
        </a:xfrm>
        <a:prstGeom prst="borderCallout2">
          <a:avLst>
            <a:gd name="adj1" fmla="val 9301"/>
            <a:gd name="adj2" fmla="val -2218"/>
            <a:gd name="adj3" fmla="val 9301"/>
            <a:gd name="adj4" fmla="val -15236"/>
            <a:gd name="adj5" fmla="val 22481"/>
            <a:gd name="adj6" fmla="val -26037"/>
          </a:avLst>
        </a:prstGeom>
        <a:solidFill>
          <a:srgbClr val="CCFFCC"/>
        </a:solidFill>
        <a:ln w="9525">
          <a:solidFill>
            <a:srgbClr val="000000"/>
          </a:solid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表示用には、「作業コード：作業名」を入れる。（：は全角）</a:t>
          </a:r>
        </a:p>
        <a:p>
          <a:pPr algn="l" rtl="0">
            <a:defRPr sz="1000"/>
          </a:pPr>
          <a:endParaRPr lang="ja-JP" altLang="en-US" sz="1100" b="0" i="0" u="none" strike="noStrike" baseline="0">
            <a:solidFill>
              <a:srgbClr val="000000"/>
            </a:solidFill>
            <a:latin typeface="ＭＳ Ｐゴシック"/>
            <a:ea typeface="ＭＳ Ｐゴシック"/>
          </a:endParaRPr>
        </a:p>
        <a:p>
          <a:pPr algn="l" rtl="0">
            <a:defRPr sz="1000"/>
          </a:pPr>
          <a:r>
            <a:rPr lang="ja-JP" altLang="en-US" sz="1100" b="0" i="0" u="none" strike="noStrike" baseline="0">
              <a:solidFill>
                <a:srgbClr val="000000"/>
              </a:solidFill>
              <a:latin typeface="ＭＳ Ｐゴシック"/>
              <a:ea typeface="ＭＳ Ｐゴシック"/>
            </a:rPr>
            <a:t>例）</a:t>
          </a:r>
        </a:p>
        <a:p>
          <a:pPr algn="l" rtl="0">
            <a:defRPr sz="1000"/>
          </a:pPr>
          <a:r>
            <a:rPr lang="ja-JP" altLang="en-US" sz="1100" b="0" i="0" u="none" strike="noStrike" baseline="0">
              <a:solidFill>
                <a:srgbClr val="000000"/>
              </a:solidFill>
              <a:latin typeface="ＭＳ Ｐゴシック"/>
              <a:ea typeface="ＭＳ Ｐゴシック"/>
            </a:rPr>
            <a:t>作業コード＝「</a:t>
          </a:r>
          <a:r>
            <a:rPr lang="en-US" altLang="ja-JP" sz="1100" b="0" i="0" u="none" strike="noStrike" baseline="0">
              <a:solidFill>
                <a:srgbClr val="000000"/>
              </a:solidFill>
              <a:latin typeface="ＭＳ Ｐゴシック"/>
              <a:ea typeface="ＭＳ Ｐゴシック"/>
            </a:rPr>
            <a:t>a10</a:t>
          </a:r>
          <a:r>
            <a:rPr lang="ja-JP" altLang="en-US" sz="1100" b="0" i="0" u="none" strike="noStrike" baseline="0">
              <a:solidFill>
                <a:srgbClr val="000000"/>
              </a:solidFill>
              <a:latin typeface="ＭＳ Ｐゴシック"/>
              <a:ea typeface="ＭＳ Ｐゴシック"/>
            </a:rPr>
            <a:t>」</a:t>
          </a:r>
        </a:p>
        <a:p>
          <a:pPr algn="l" rtl="0">
            <a:defRPr sz="1000"/>
          </a:pPr>
          <a:r>
            <a:rPr lang="ja-JP" altLang="en-US" sz="1100" b="0" i="0" u="none" strike="noStrike" baseline="0">
              <a:solidFill>
                <a:srgbClr val="000000"/>
              </a:solidFill>
              <a:latin typeface="ＭＳ Ｐゴシック"/>
              <a:ea typeface="ＭＳ Ｐゴシック"/>
            </a:rPr>
            <a:t>作業名＝「ドキュメント作成」</a:t>
          </a:r>
        </a:p>
        <a:p>
          <a:pPr algn="l" rtl="0">
            <a:defRPr sz="1000"/>
          </a:pPr>
          <a:r>
            <a:rPr lang="ja-JP" altLang="en-US" sz="1100" b="0" i="0" u="none" strike="noStrike" baseline="0">
              <a:solidFill>
                <a:srgbClr val="000000"/>
              </a:solidFill>
              <a:latin typeface="ＭＳ Ｐゴシック"/>
              <a:ea typeface="ＭＳ Ｐゴシック"/>
            </a:rPr>
            <a:t>↓</a:t>
          </a:r>
        </a:p>
        <a:p>
          <a:pPr algn="l" rtl="0">
            <a:defRPr sz="1000"/>
          </a:pPr>
          <a:r>
            <a:rPr lang="ja-JP" altLang="en-US" sz="1100" b="0" i="0" u="none" strike="noStrike" baseline="0">
              <a:solidFill>
                <a:srgbClr val="000000"/>
              </a:solidFill>
              <a:latin typeface="ＭＳ Ｐゴシック"/>
              <a:ea typeface="ＭＳ Ｐゴシック"/>
            </a:rPr>
            <a:t>表示名＝「</a:t>
          </a:r>
          <a:r>
            <a:rPr lang="en-US" altLang="ja-JP" sz="1100" b="0" i="0" u="none" strike="noStrike" baseline="0">
              <a:solidFill>
                <a:srgbClr val="000000"/>
              </a:solidFill>
              <a:latin typeface="ＭＳ Ｐゴシック"/>
              <a:ea typeface="ＭＳ Ｐゴシック"/>
            </a:rPr>
            <a:t>a10</a:t>
          </a:r>
          <a:r>
            <a:rPr lang="ja-JP" altLang="en-US" sz="1100" b="0" i="0" u="none" strike="noStrike" baseline="0">
              <a:solidFill>
                <a:srgbClr val="000000"/>
              </a:solidFill>
              <a:latin typeface="ＭＳ Ｐゴシック"/>
              <a:ea typeface="ＭＳ Ｐゴシック"/>
            </a:rPr>
            <a:t>：ドキュメント作成」</a:t>
          </a:r>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3</xdr:col>
      <xdr:colOff>552450</xdr:colOff>
      <xdr:row>1</xdr:row>
      <xdr:rowOff>66675</xdr:rowOff>
    </xdr:from>
    <xdr:ext cx="3956596" cy="1485535"/>
    <xdr:sp macro="" textlink="">
      <xdr:nvSpPr>
        <xdr:cNvPr id="2" name="AutoShape 1">
          <a:extLst>
            <a:ext uri="{FF2B5EF4-FFF2-40B4-BE49-F238E27FC236}">
              <a16:creationId xmlns:a16="http://schemas.microsoft.com/office/drawing/2014/main" id="{00000000-0008-0000-0B00-000002000000}"/>
            </a:ext>
          </a:extLst>
        </xdr:cNvPr>
        <xdr:cNvSpPr>
          <a:spLocks/>
        </xdr:cNvSpPr>
      </xdr:nvSpPr>
      <xdr:spPr bwMode="auto">
        <a:xfrm>
          <a:off x="3886200" y="238125"/>
          <a:ext cx="3956596" cy="1485535"/>
        </a:xfrm>
        <a:prstGeom prst="borderCallout2">
          <a:avLst>
            <a:gd name="adj1" fmla="val 9301"/>
            <a:gd name="adj2" fmla="val -2218"/>
            <a:gd name="adj3" fmla="val 9301"/>
            <a:gd name="adj4" fmla="val -15236"/>
            <a:gd name="adj5" fmla="val 22481"/>
            <a:gd name="adj6" fmla="val -26037"/>
          </a:avLst>
        </a:prstGeom>
        <a:solidFill>
          <a:srgbClr val="CCFFFF"/>
        </a:solidFill>
        <a:ln w="9525">
          <a:solidFill>
            <a:srgbClr val="000000"/>
          </a:solidFill>
          <a:miter lim="800000"/>
          <a:headEnd/>
          <a:tailEnd/>
        </a:ln>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表示用には、「工程コード作業コード：作業名」を入れる。（：は全角）</a:t>
          </a:r>
        </a:p>
        <a:p>
          <a:pPr algn="l" rtl="0">
            <a:defRPr sz="1000"/>
          </a:pPr>
          <a:endParaRPr lang="ja-JP" altLang="en-US" sz="1100" b="0" i="0" u="none" strike="noStrike" baseline="0">
            <a:solidFill>
              <a:srgbClr val="000000"/>
            </a:solidFill>
            <a:latin typeface="ＭＳ Ｐゴシック"/>
            <a:ea typeface="ＭＳ Ｐゴシック"/>
          </a:endParaRPr>
        </a:p>
        <a:p>
          <a:pPr algn="l" rtl="0">
            <a:defRPr sz="1000"/>
          </a:pPr>
          <a:r>
            <a:rPr lang="ja-JP" altLang="en-US" sz="1100" b="0" i="0" u="none" strike="noStrike" baseline="0">
              <a:solidFill>
                <a:srgbClr val="000000"/>
              </a:solidFill>
              <a:latin typeface="ＭＳ Ｐゴシック"/>
              <a:ea typeface="ＭＳ Ｐゴシック"/>
            </a:rPr>
            <a:t>例）</a:t>
          </a:r>
        </a:p>
        <a:p>
          <a:pPr algn="l" rtl="0">
            <a:defRPr sz="1000"/>
          </a:pPr>
          <a:r>
            <a:rPr lang="ja-JP" altLang="en-US" sz="1100" b="0" i="0" u="none" strike="noStrike" baseline="0">
              <a:solidFill>
                <a:srgbClr val="000000"/>
              </a:solidFill>
              <a:latin typeface="ＭＳ Ｐゴシック"/>
              <a:ea typeface="ＭＳ Ｐゴシック"/>
            </a:rPr>
            <a:t>工程コード＝「</a:t>
          </a:r>
          <a:r>
            <a:rPr lang="en-US" altLang="ja-JP" sz="1100" b="0" i="0" u="none" strike="noStrike" baseline="0">
              <a:solidFill>
                <a:srgbClr val="000000"/>
              </a:solidFill>
              <a:latin typeface="ＭＳ Ｐゴシック"/>
              <a:ea typeface="ＭＳ Ｐゴシック"/>
            </a:rPr>
            <a:t>A1</a:t>
          </a:r>
          <a:r>
            <a:rPr lang="ja-JP" altLang="en-US" sz="1100" b="0" i="0" u="none" strike="noStrike" baseline="0">
              <a:solidFill>
                <a:srgbClr val="000000"/>
              </a:solidFill>
              <a:latin typeface="ＭＳ Ｐゴシック"/>
              <a:ea typeface="ＭＳ Ｐゴシック"/>
            </a:rPr>
            <a:t>」</a:t>
          </a:r>
        </a:p>
        <a:p>
          <a:pPr algn="l" rtl="0">
            <a:defRPr sz="1000"/>
          </a:pPr>
          <a:r>
            <a:rPr lang="ja-JP" altLang="en-US" sz="1100" b="0" i="0" u="none" strike="noStrike" baseline="0">
              <a:solidFill>
                <a:srgbClr val="000000"/>
              </a:solidFill>
              <a:latin typeface="ＭＳ Ｐゴシック"/>
              <a:ea typeface="ＭＳ Ｐゴシック"/>
            </a:rPr>
            <a:t>作業コード＝「</a:t>
          </a:r>
          <a:r>
            <a:rPr lang="en-US" altLang="ja-JP" sz="1100" b="0" i="0" u="none" strike="noStrike" baseline="0">
              <a:solidFill>
                <a:srgbClr val="000000"/>
              </a:solidFill>
              <a:latin typeface="ＭＳ Ｐゴシック"/>
              <a:ea typeface="ＭＳ Ｐゴシック"/>
            </a:rPr>
            <a:t>a10</a:t>
          </a:r>
          <a:r>
            <a:rPr lang="ja-JP" altLang="en-US" sz="1100" b="0" i="0" u="none" strike="noStrike" baseline="0">
              <a:solidFill>
                <a:srgbClr val="000000"/>
              </a:solidFill>
              <a:latin typeface="ＭＳ Ｐゴシック"/>
              <a:ea typeface="ＭＳ Ｐゴシック"/>
            </a:rPr>
            <a:t>」</a:t>
          </a:r>
        </a:p>
        <a:p>
          <a:pPr algn="l" rtl="0">
            <a:defRPr sz="1000"/>
          </a:pPr>
          <a:r>
            <a:rPr lang="ja-JP" altLang="en-US" sz="1100" b="0" i="0" u="none" strike="noStrike" baseline="0">
              <a:solidFill>
                <a:srgbClr val="000000"/>
              </a:solidFill>
              <a:latin typeface="ＭＳ Ｐゴシック"/>
              <a:ea typeface="ＭＳ Ｐゴシック"/>
            </a:rPr>
            <a:t>作業名＝「ドキュメント作成」　←作業コードマスタ参照</a:t>
          </a:r>
        </a:p>
        <a:p>
          <a:pPr algn="l" rtl="0">
            <a:defRPr sz="1000"/>
          </a:pPr>
          <a:r>
            <a:rPr lang="ja-JP" altLang="en-US" sz="1100" b="0" i="0" u="none" strike="noStrike" baseline="0">
              <a:solidFill>
                <a:srgbClr val="000000"/>
              </a:solidFill>
              <a:latin typeface="ＭＳ Ｐゴシック"/>
              <a:ea typeface="ＭＳ Ｐゴシック"/>
            </a:rPr>
            <a:t>↓</a:t>
          </a:r>
        </a:p>
        <a:p>
          <a:pPr algn="l" rtl="0">
            <a:defRPr sz="1000"/>
          </a:pPr>
          <a:r>
            <a:rPr lang="ja-JP" altLang="en-US" sz="1100" b="0" i="0" u="none" strike="noStrike" baseline="0">
              <a:solidFill>
                <a:srgbClr val="000000"/>
              </a:solidFill>
              <a:latin typeface="ＭＳ Ｐゴシック"/>
              <a:ea typeface="ＭＳ Ｐゴシック"/>
            </a:rPr>
            <a:t>表示名＝「</a:t>
          </a:r>
          <a:r>
            <a:rPr lang="en-US" altLang="ja-JP" sz="1100" b="0" i="0" u="none" strike="noStrike" baseline="0">
              <a:solidFill>
                <a:srgbClr val="000000"/>
              </a:solidFill>
              <a:latin typeface="ＭＳ Ｐゴシック"/>
              <a:ea typeface="ＭＳ Ｐゴシック"/>
            </a:rPr>
            <a:t>A1a10</a:t>
          </a:r>
          <a:r>
            <a:rPr lang="ja-JP" altLang="en-US" sz="1100" b="0" i="0" u="none" strike="noStrike" baseline="0">
              <a:solidFill>
                <a:srgbClr val="000000"/>
              </a:solidFill>
              <a:latin typeface="ＭＳ Ｐゴシック"/>
              <a:ea typeface="ＭＳ Ｐゴシック"/>
            </a:rPr>
            <a:t>：ドキュメント作成」</a:t>
          </a:r>
        </a:p>
      </xdr:txBody>
    </xdr:sp>
    <xdr:clientData/>
  </xdr:oneCellAnchor>
</xdr:wsDr>
</file>

<file path=xl/drawings/drawing10.xml><?xml version="1.0" encoding="utf-8"?>
<xdr:wsDr xmlns:xdr="http://schemas.openxmlformats.org/drawingml/2006/spreadsheetDrawing" xmlns:a="http://schemas.openxmlformats.org/drawingml/2006/main">
  <xdr:twoCellAnchor>
    <xdr:from>
      <xdr:col>5</xdr:col>
      <xdr:colOff>28575</xdr:colOff>
      <xdr:row>1</xdr:row>
      <xdr:rowOff>85726</xdr:rowOff>
    </xdr:from>
    <xdr:to>
      <xdr:col>10</xdr:col>
      <xdr:colOff>781050</xdr:colOff>
      <xdr:row>8</xdr:row>
      <xdr:rowOff>142874</xdr:rowOff>
    </xdr:to>
    <xdr:sp macro="" textlink="">
      <xdr:nvSpPr>
        <xdr:cNvPr id="2" name="テキスト ボックス 1">
          <a:extLst>
            <a:ext uri="{FF2B5EF4-FFF2-40B4-BE49-F238E27FC236}">
              <a16:creationId xmlns:a16="http://schemas.microsoft.com/office/drawing/2014/main" id="{00000000-0008-0000-0C00-000002000000}"/>
            </a:ext>
          </a:extLst>
        </xdr:cNvPr>
        <xdr:cNvSpPr txBox="1"/>
      </xdr:nvSpPr>
      <xdr:spPr>
        <a:xfrm>
          <a:off x="2762250" y="266701"/>
          <a:ext cx="6096000" cy="1266823"/>
        </a:xfrm>
        <a:prstGeom prst="rect">
          <a:avLst/>
        </a:prstGeom>
        <a:solidFill>
          <a:srgbClr val="CC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a:t>
          </a:r>
          <a:r>
            <a:rPr kumimoji="1" lang="en-US" altLang="ja-JP" sz="1100" b="1">
              <a:solidFill>
                <a:srgbClr val="FF0000"/>
              </a:solidFill>
            </a:rPr>
            <a:t>【</a:t>
          </a:r>
          <a:r>
            <a:rPr kumimoji="1" lang="ja-JP" altLang="en-US" sz="1100" b="1">
              <a:solidFill>
                <a:srgbClr val="FF0000"/>
              </a:solidFill>
            </a:rPr>
            <a:t>社員のみ</a:t>
          </a:r>
          <a:r>
            <a:rPr kumimoji="1" lang="en-US" altLang="ja-JP" sz="1100" b="1">
              <a:solidFill>
                <a:srgbClr val="FF0000"/>
              </a:solidFill>
            </a:rPr>
            <a:t>】</a:t>
          </a:r>
        </a:p>
        <a:p>
          <a:r>
            <a:rPr kumimoji="1" lang="ja-JP" altLang="en-US" sz="1100" b="1"/>
            <a:t>　　夏季休暇、</a:t>
          </a:r>
          <a:r>
            <a:rPr kumimoji="1" lang="ja-JP" altLang="ja-JP" sz="1100" b="1">
              <a:solidFill>
                <a:schemeClr val="dk1"/>
              </a:solidFill>
              <a:effectLst/>
              <a:latin typeface="+mn-lt"/>
              <a:ea typeface="+mn-ea"/>
              <a:cs typeface="+mn-cs"/>
            </a:rPr>
            <a:t>年末年始休暇</a:t>
          </a:r>
          <a:r>
            <a:rPr kumimoji="1" lang="ja-JP" altLang="en-US" sz="1100" b="1">
              <a:solidFill>
                <a:schemeClr val="dk1"/>
              </a:solidFill>
              <a:effectLst/>
              <a:latin typeface="+mn-lt"/>
              <a:ea typeface="+mn-ea"/>
              <a:cs typeface="+mn-cs"/>
            </a:rPr>
            <a:t>を入力してください</a:t>
          </a:r>
          <a:endParaRPr kumimoji="1" lang="en-US" altLang="ja-JP" sz="1100" b="1"/>
        </a:p>
        <a:p>
          <a:r>
            <a:rPr kumimoji="1" lang="ja-JP" altLang="en-US" sz="1100"/>
            <a:t>　　　・会社の標準の日程の方も、変更をしている方も全員記入が必要です。</a:t>
          </a:r>
          <a:endParaRPr kumimoji="1" lang="en-US" altLang="ja-JP" sz="1100"/>
        </a:p>
        <a:p>
          <a:endParaRPr kumimoji="1" lang="en-US" altLang="ja-JP" sz="1100"/>
        </a:p>
        <a:p>
          <a:r>
            <a:rPr kumimoji="1" lang="ja-JP" altLang="en-US" sz="1100"/>
            <a:t>　　</a:t>
          </a:r>
          <a:r>
            <a:rPr kumimoji="1" lang="en-US" altLang="ja-JP" sz="1100"/>
            <a:t>※</a:t>
          </a:r>
          <a:r>
            <a:rPr kumimoji="1" lang="ja-JP" altLang="en-US" sz="1100"/>
            <a:t>協力会社の方は入力不要です。</a:t>
          </a:r>
          <a:endParaRPr kumimoji="1" lang="en-US" altLang="ja-JP" sz="1100"/>
        </a:p>
      </xdr:txBody>
    </xdr:sp>
    <xdr:clientData/>
  </xdr:twoCellAnchor>
  <xdr:twoCellAnchor>
    <xdr:from>
      <xdr:col>0</xdr:col>
      <xdr:colOff>0</xdr:colOff>
      <xdr:row>12</xdr:row>
      <xdr:rowOff>142875</xdr:rowOff>
    </xdr:from>
    <xdr:to>
      <xdr:col>10</xdr:col>
      <xdr:colOff>5486400</xdr:colOff>
      <xdr:row>12</xdr:row>
      <xdr:rowOff>400050</xdr:rowOff>
    </xdr:to>
    <xdr:sp macro="" textlink="">
      <xdr:nvSpPr>
        <xdr:cNvPr id="3" name="テキスト ボックス 2">
          <a:extLst>
            <a:ext uri="{FF2B5EF4-FFF2-40B4-BE49-F238E27FC236}">
              <a16:creationId xmlns:a16="http://schemas.microsoft.com/office/drawing/2014/main" id="{00000000-0008-0000-0C00-000003000000}"/>
            </a:ext>
          </a:extLst>
        </xdr:cNvPr>
        <xdr:cNvSpPr txBox="1"/>
      </xdr:nvSpPr>
      <xdr:spPr>
        <a:xfrm>
          <a:off x="0" y="2238375"/>
          <a:ext cx="13563600" cy="2571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a:t>↓↓　ここから下のデータは変更できません　</a:t>
          </a:r>
          <a:r>
            <a:rPr kumimoji="1" lang="ja-JP" altLang="ja-JP" sz="1100">
              <a:solidFill>
                <a:schemeClr val="dk1"/>
              </a:solidFill>
              <a:effectLst/>
              <a:latin typeface="+mn-lt"/>
              <a:ea typeface="+mn-ea"/>
              <a:cs typeface="+mn-cs"/>
            </a:rPr>
            <a:t>↓↓</a:t>
          </a:r>
          <a:endParaRPr kumimoji="1" lang="ja-JP" alt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39</xdr:row>
      <xdr:rowOff>123825</xdr:rowOff>
    </xdr:to>
    <xdr:sp macro="" textlink="">
      <xdr:nvSpPr>
        <xdr:cNvPr id="2" name="AutoShape 1">
          <a:extLst>
            <a:ext uri="{FF2B5EF4-FFF2-40B4-BE49-F238E27FC236}">
              <a16:creationId xmlns:a16="http://schemas.microsoft.com/office/drawing/2014/main" id="{00000000-0008-0000-0E00-000002000000}"/>
            </a:ext>
          </a:extLst>
        </xdr:cNvPr>
        <xdr:cNvSpPr>
          <a:spLocks noChangeArrowheads="1"/>
        </xdr:cNvSpPr>
      </xdr:nvSpPr>
      <xdr:spPr bwMode="auto">
        <a:xfrm>
          <a:off x="0" y="0"/>
          <a:ext cx="0" cy="10248900"/>
        </a:xfrm>
        <a:prstGeom prst="roundRect">
          <a:avLst>
            <a:gd name="adj" fmla="val 16667"/>
          </a:avLst>
        </a:prstGeom>
        <a:solidFill>
          <a:srgbClr val="FFFF00">
            <a:alpha val="50000"/>
          </a:srgbClr>
        </a:solidFill>
        <a:ln w="9525">
          <a:solidFill>
            <a:srgbClr val="000000"/>
          </a:solidFill>
          <a:round/>
          <a:headEnd/>
          <a:tailEnd/>
        </a:ln>
      </xdr:spPr>
      <xdr:txBody>
        <a:bodyPr vertOverflow="clip" vert="wordArtVertRtl" wrap="square" lIns="54864" tIns="0" rIns="54864" bIns="0" anchor="ctr" upright="1"/>
        <a:lstStyle/>
        <a:p>
          <a:pPr algn="ctr" rtl="0">
            <a:defRPr sz="1000"/>
          </a:pPr>
          <a:r>
            <a:rPr lang="ja-JP" altLang="en-US" sz="2800" b="1" i="0" u="none" strike="noStrike" baseline="0">
              <a:solidFill>
                <a:srgbClr val="0000FF"/>
              </a:solidFill>
              <a:latin typeface="ＭＳ Ｐゴシック"/>
              <a:ea typeface="ＭＳ Ｐゴシック"/>
            </a:rPr>
            <a:t>別シート</a:t>
          </a:r>
        </a:p>
      </xdr:txBody>
    </xdr:sp>
    <xdr:clientData/>
  </xdr:twoCellAnchor>
  <xdr:twoCellAnchor>
    <xdr:from>
      <xdr:col>0</xdr:col>
      <xdr:colOff>0</xdr:colOff>
      <xdr:row>0</xdr:row>
      <xdr:rowOff>0</xdr:rowOff>
    </xdr:from>
    <xdr:to>
      <xdr:col>0</xdr:col>
      <xdr:colOff>0</xdr:colOff>
      <xdr:row>0</xdr:row>
      <xdr:rowOff>0</xdr:rowOff>
    </xdr:to>
    <xdr:sp macro="" textlink="">
      <xdr:nvSpPr>
        <xdr:cNvPr id="3" name="AutoShape 2">
          <a:extLst>
            <a:ext uri="{FF2B5EF4-FFF2-40B4-BE49-F238E27FC236}">
              <a16:creationId xmlns:a16="http://schemas.microsoft.com/office/drawing/2014/main" id="{00000000-0008-0000-0E00-000003000000}"/>
            </a:ext>
          </a:extLst>
        </xdr:cNvPr>
        <xdr:cNvSpPr>
          <a:spLocks noChangeArrowheads="1"/>
        </xdr:cNvSpPr>
      </xdr:nvSpPr>
      <xdr:spPr bwMode="auto">
        <a:xfrm>
          <a:off x="0" y="0"/>
          <a:ext cx="0" cy="0"/>
        </a:xfrm>
        <a:prstGeom prst="roundRect">
          <a:avLst>
            <a:gd name="adj" fmla="val 16667"/>
          </a:avLst>
        </a:prstGeom>
        <a:solidFill>
          <a:srgbClr val="FFFF00">
            <a:alpha val="80000"/>
          </a:srgbClr>
        </a:solidFill>
        <a:ln w="9525">
          <a:solidFill>
            <a:srgbClr val="000000"/>
          </a:solidFill>
          <a:round/>
          <a:headEnd/>
          <a:tailEnd/>
        </a:ln>
      </xdr:spPr>
      <xdr:txBody>
        <a:bodyPr vertOverflow="clip" wrap="square" lIns="36576" tIns="18288" rIns="36576" bIns="18288" anchor="ctr" upright="1"/>
        <a:lstStyle/>
        <a:p>
          <a:pPr algn="ctr" rtl="0">
            <a:defRPr sz="1000"/>
          </a:pPr>
          <a:r>
            <a:rPr lang="en-US" altLang="ja-JP" sz="1100" b="1" i="0" u="none" strike="sngStrike" baseline="0">
              <a:solidFill>
                <a:srgbClr val="0000FF"/>
              </a:solidFill>
              <a:latin typeface="ＭＳ Ｐゴシック"/>
              <a:ea typeface="ＭＳ Ｐゴシック"/>
            </a:rPr>
            <a:t>RangeName="</a:t>
          </a:r>
          <a:r>
            <a:rPr lang="ja-JP" altLang="en-US" sz="1100" b="1" i="0" u="none" strike="sngStrike" baseline="0">
              <a:solidFill>
                <a:srgbClr val="0000FF"/>
              </a:solidFill>
              <a:latin typeface="ＭＳ Ｐゴシック"/>
              <a:ea typeface="ＭＳ Ｐゴシック"/>
            </a:rPr>
            <a:t>プロジェクトｺｰﾄﾞ</a:t>
          </a:r>
          <a:r>
            <a:rPr lang="en-US" altLang="ja-JP" sz="1100" b="1" i="0" u="none" strike="sngStrike" baseline="0">
              <a:solidFill>
                <a:srgbClr val="0000FF"/>
              </a:solidFill>
              <a:latin typeface="ＭＳ Ｐゴシック"/>
              <a:ea typeface="ＭＳ Ｐゴシック"/>
            </a:rPr>
            <a:t>"</a:t>
          </a:r>
        </a:p>
        <a:p>
          <a:pPr algn="ctr" rtl="0">
            <a:defRPr sz="1000"/>
          </a:pPr>
          <a:endParaRPr lang="en-US" altLang="ja-JP" sz="1100" b="1" i="0" u="none" strike="sngStrike" baseline="0">
            <a:solidFill>
              <a:srgbClr val="0000FF"/>
            </a:solidFill>
            <a:latin typeface="ＭＳ Ｐゴシック"/>
            <a:ea typeface="ＭＳ Ｐゴシック"/>
          </a:endParaRPr>
        </a:p>
        <a:p>
          <a:pPr algn="ctr" rtl="0">
            <a:defRPr sz="1000"/>
          </a:pPr>
          <a:r>
            <a:rPr lang="ja-JP" altLang="en-US" sz="1100" b="1" i="0" u="none" strike="sngStrike" baseline="0">
              <a:solidFill>
                <a:srgbClr val="0000FF"/>
              </a:solidFill>
              <a:latin typeface="ＭＳ Ｐゴシック"/>
              <a:ea typeface="ＭＳ Ｐゴシック"/>
            </a:rPr>
            <a:t>「作業日報」の「プロジェクト」列</a:t>
          </a:r>
        </a:p>
        <a:p>
          <a:pPr algn="ctr" rtl="0">
            <a:defRPr sz="1000"/>
          </a:pPr>
          <a:r>
            <a:rPr lang="ja-JP" altLang="en-US" sz="1100" b="1" i="0" u="none" strike="sngStrike" baseline="0">
              <a:solidFill>
                <a:srgbClr val="0000FF"/>
              </a:solidFill>
              <a:latin typeface="ＭＳ Ｐゴシック"/>
              <a:ea typeface="ＭＳ Ｐゴシック"/>
            </a:rPr>
            <a:t>で使用</a:t>
          </a:r>
        </a:p>
      </xdr:txBody>
    </xdr:sp>
    <xdr:clientData/>
  </xdr:twoCellAnchor>
  <xdr:twoCellAnchor>
    <xdr:from>
      <xdr:col>0</xdr:col>
      <xdr:colOff>0</xdr:colOff>
      <xdr:row>0</xdr:row>
      <xdr:rowOff>0</xdr:rowOff>
    </xdr:from>
    <xdr:to>
      <xdr:col>0</xdr:col>
      <xdr:colOff>0</xdr:colOff>
      <xdr:row>0</xdr:row>
      <xdr:rowOff>0</xdr:rowOff>
    </xdr:to>
    <xdr:sp macro="" textlink="">
      <xdr:nvSpPr>
        <xdr:cNvPr id="4" name="AutoShape 3">
          <a:extLst>
            <a:ext uri="{FF2B5EF4-FFF2-40B4-BE49-F238E27FC236}">
              <a16:creationId xmlns:a16="http://schemas.microsoft.com/office/drawing/2014/main" id="{00000000-0008-0000-0E00-000004000000}"/>
            </a:ext>
          </a:extLst>
        </xdr:cNvPr>
        <xdr:cNvSpPr>
          <a:spLocks noChangeArrowheads="1"/>
        </xdr:cNvSpPr>
      </xdr:nvSpPr>
      <xdr:spPr bwMode="auto">
        <a:xfrm>
          <a:off x="0" y="0"/>
          <a:ext cx="0" cy="0"/>
        </a:xfrm>
        <a:prstGeom prst="roundRect">
          <a:avLst>
            <a:gd name="adj" fmla="val 16667"/>
          </a:avLst>
        </a:prstGeom>
        <a:solidFill>
          <a:srgbClr val="FFFF00">
            <a:alpha val="70000"/>
          </a:srgbClr>
        </a:solidFill>
        <a:ln w="9525">
          <a:solidFill>
            <a:srgbClr val="000000"/>
          </a:solidFill>
          <a:round/>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FF"/>
              </a:solidFill>
              <a:latin typeface="ＭＳ Ｐゴシック"/>
              <a:ea typeface="ＭＳ Ｐゴシック"/>
            </a:rPr>
            <a:t>日報</a:t>
          </a:r>
          <a:r>
            <a:rPr lang="en-US" altLang="ja-JP" sz="1100" b="1" i="0" u="none" strike="noStrike" baseline="0">
              <a:solidFill>
                <a:srgbClr val="0000FF"/>
              </a:solidFill>
              <a:latin typeface="ＭＳ Ｐゴシック"/>
              <a:ea typeface="ＭＳ Ｐゴシック"/>
            </a:rPr>
            <a:t>EXCEL</a:t>
          </a:r>
          <a:r>
            <a:rPr lang="ja-JP" altLang="en-US" sz="1100" b="1" i="0" u="none" strike="noStrike" baseline="0">
              <a:solidFill>
                <a:srgbClr val="0000FF"/>
              </a:solidFill>
              <a:latin typeface="ＭＳ Ｐゴシック"/>
              <a:ea typeface="ＭＳ Ｐゴシック"/>
            </a:rPr>
            <a:t>の</a:t>
          </a:r>
        </a:p>
        <a:p>
          <a:pPr algn="ctr" rtl="0">
            <a:defRPr sz="1000"/>
          </a:pPr>
          <a:r>
            <a:rPr lang="ja-JP" altLang="en-US" sz="1100" b="1" i="0" u="none" strike="noStrike" baseline="0">
              <a:solidFill>
                <a:srgbClr val="0000FF"/>
              </a:solidFill>
              <a:latin typeface="ＭＳ Ｐゴシック"/>
              <a:ea typeface="ＭＳ Ｐゴシック"/>
            </a:rPr>
            <a:t>所属欄（</a:t>
          </a:r>
          <a:r>
            <a:rPr lang="en-US" altLang="ja-JP" sz="1100" b="1" i="0" u="none" strike="noStrike" baseline="0">
              <a:solidFill>
                <a:srgbClr val="0000FF"/>
              </a:solidFill>
              <a:latin typeface="ＭＳ Ｐゴシック"/>
              <a:ea typeface="ＭＳ Ｐゴシック"/>
            </a:rPr>
            <a:t>AV2</a:t>
          </a:r>
          <a:r>
            <a:rPr lang="ja-JP" altLang="en-US" sz="1100" b="1" i="0" u="none" strike="noStrike" baseline="0">
              <a:solidFill>
                <a:srgbClr val="0000FF"/>
              </a:solidFill>
              <a:latin typeface="ＭＳ Ｐゴシック"/>
              <a:ea typeface="ＭＳ Ｐゴシック"/>
            </a:rPr>
            <a:t>セル）に</a:t>
          </a:r>
        </a:p>
        <a:p>
          <a:pPr algn="ctr" rtl="0">
            <a:defRPr sz="1000"/>
          </a:pPr>
          <a:r>
            <a:rPr lang="ja-JP" altLang="en-US" sz="1100" b="1" i="0" u="none" strike="noStrike" baseline="0">
              <a:solidFill>
                <a:srgbClr val="0000FF"/>
              </a:solidFill>
              <a:latin typeface="ＭＳ Ｐゴシック"/>
              <a:ea typeface="ＭＳ Ｐゴシック"/>
            </a:rPr>
            <a:t>セットされる</a:t>
          </a:r>
        </a:p>
      </xdr:txBody>
    </xdr:sp>
    <xdr:clientData/>
  </xdr:twoCellAnchor>
  <xdr:twoCellAnchor>
    <xdr:from>
      <xdr:col>0</xdr:col>
      <xdr:colOff>0</xdr:colOff>
      <xdr:row>0</xdr:row>
      <xdr:rowOff>0</xdr:rowOff>
    </xdr:from>
    <xdr:to>
      <xdr:col>0</xdr:col>
      <xdr:colOff>0</xdr:colOff>
      <xdr:row>0</xdr:row>
      <xdr:rowOff>0</xdr:rowOff>
    </xdr:to>
    <xdr:sp macro="" textlink="">
      <xdr:nvSpPr>
        <xdr:cNvPr id="5" name="AutoShape 4">
          <a:extLst>
            <a:ext uri="{FF2B5EF4-FFF2-40B4-BE49-F238E27FC236}">
              <a16:creationId xmlns:a16="http://schemas.microsoft.com/office/drawing/2014/main" id="{00000000-0008-0000-0E00-000005000000}"/>
            </a:ext>
          </a:extLst>
        </xdr:cNvPr>
        <xdr:cNvSpPr>
          <a:spLocks noChangeArrowheads="1"/>
        </xdr:cNvSpPr>
      </xdr:nvSpPr>
      <xdr:spPr bwMode="auto">
        <a:xfrm>
          <a:off x="0" y="0"/>
          <a:ext cx="0" cy="0"/>
        </a:xfrm>
        <a:prstGeom prst="roundRect">
          <a:avLst>
            <a:gd name="adj" fmla="val 16667"/>
          </a:avLst>
        </a:prstGeom>
        <a:solidFill>
          <a:srgbClr val="FFFF00">
            <a:alpha val="70000"/>
          </a:srgbClr>
        </a:solidFill>
        <a:ln w="9525">
          <a:solidFill>
            <a:srgbClr val="000000"/>
          </a:solidFill>
          <a:round/>
          <a:headEnd/>
          <a:tailEnd/>
        </a:ln>
      </xdr:spPr>
      <xdr:txBody>
        <a:bodyPr vertOverflow="clip" wrap="square" lIns="27432" tIns="18288" rIns="27432" bIns="18288" anchor="ctr" upright="1"/>
        <a:lstStyle/>
        <a:p>
          <a:pPr algn="ctr" rtl="0">
            <a:defRPr sz="1000"/>
          </a:pPr>
          <a:r>
            <a:rPr lang="en-US" altLang="ja-JP" sz="800" b="1" i="0" u="none" strike="noStrike" baseline="0">
              <a:solidFill>
                <a:srgbClr val="0000FF"/>
              </a:solidFill>
              <a:latin typeface="ＭＳ Ｐゴシック"/>
              <a:ea typeface="ＭＳ Ｐゴシック"/>
            </a:rPr>
            <a:t>RangeName="</a:t>
          </a:r>
          <a:r>
            <a:rPr lang="ja-JP" altLang="en-US" sz="800" b="1" i="0" u="none" strike="noStrike" baseline="0">
              <a:solidFill>
                <a:srgbClr val="0000FF"/>
              </a:solidFill>
              <a:latin typeface="ＭＳ Ｐゴシック"/>
              <a:ea typeface="ＭＳ Ｐゴシック"/>
            </a:rPr>
            <a:t>プロジェクト名</a:t>
          </a:r>
          <a:r>
            <a:rPr lang="en-US" altLang="ja-JP" sz="800" b="1" i="0" u="none" strike="noStrike" baseline="0">
              <a:solidFill>
                <a:srgbClr val="0000FF"/>
              </a:solidFill>
              <a:latin typeface="ＭＳ Ｐゴシック"/>
              <a:ea typeface="ＭＳ Ｐゴシック"/>
            </a:rPr>
            <a:t>_</a:t>
          </a:r>
          <a:r>
            <a:rPr lang="ja-JP" altLang="en-US" sz="800" b="1" i="0" u="none" strike="noStrike" baseline="0">
              <a:solidFill>
                <a:srgbClr val="0000FF"/>
              </a:solidFill>
              <a:latin typeface="ＭＳ Ｐゴシック"/>
              <a:ea typeface="ＭＳ Ｐゴシック"/>
            </a:rPr>
            <a:t>正式</a:t>
          </a:r>
          <a:r>
            <a:rPr lang="en-US" altLang="ja-JP" sz="800" b="1" i="0" u="none" strike="noStrike" baseline="0">
              <a:solidFill>
                <a:srgbClr val="0000FF"/>
              </a:solidFill>
              <a:latin typeface="ＭＳ Ｐゴシック"/>
              <a:ea typeface="ＭＳ Ｐゴシック"/>
            </a:rPr>
            <a:t>"</a:t>
          </a:r>
        </a:p>
        <a:p>
          <a:pPr algn="ctr" rtl="0">
            <a:defRPr sz="1000"/>
          </a:pPr>
          <a:endParaRPr lang="en-US" altLang="ja-JP" sz="800" b="1" i="0" u="none" strike="noStrike" baseline="0">
            <a:solidFill>
              <a:srgbClr val="0000FF"/>
            </a:solidFill>
            <a:latin typeface="ＭＳ Ｐゴシック"/>
            <a:ea typeface="ＭＳ Ｐゴシック"/>
          </a:endParaRPr>
        </a:p>
        <a:p>
          <a:pPr algn="ctr" rtl="0">
            <a:defRPr sz="1000"/>
          </a:pPr>
          <a:r>
            <a:rPr lang="ja-JP" altLang="en-US" sz="800" b="1" i="0" u="none" strike="noStrike" baseline="0">
              <a:solidFill>
                <a:srgbClr val="0000FF"/>
              </a:solidFill>
              <a:latin typeface="ＭＳ Ｐゴシック"/>
              <a:ea typeface="ＭＳ Ｐゴシック"/>
            </a:rPr>
            <a:t>「作業日報」の「</a:t>
          </a:r>
          <a:r>
            <a:rPr lang="en-US" altLang="ja-JP" sz="800" b="1" i="0" u="none" strike="noStrike" baseline="0">
              <a:solidFill>
                <a:srgbClr val="0000FF"/>
              </a:solidFill>
              <a:latin typeface="ＭＳ Ｐゴシック"/>
              <a:ea typeface="ＭＳ Ｐゴシック"/>
            </a:rPr>
            <a:t>L2</a:t>
          </a:r>
          <a:r>
            <a:rPr lang="ja-JP" altLang="en-US" sz="800" b="1" i="0" u="none" strike="noStrike" baseline="0">
              <a:solidFill>
                <a:srgbClr val="0000FF"/>
              </a:solidFill>
              <a:latin typeface="ＭＳ Ｐゴシック"/>
              <a:ea typeface="ＭＳ Ｐゴシック"/>
            </a:rPr>
            <a:t>」セル</a:t>
          </a:r>
        </a:p>
        <a:p>
          <a:pPr algn="ctr" rtl="0">
            <a:defRPr sz="1000"/>
          </a:pPr>
          <a:r>
            <a:rPr lang="ja-JP" altLang="en-US" sz="800" b="1" i="0" u="none" strike="noStrike" baseline="0">
              <a:solidFill>
                <a:srgbClr val="0000FF"/>
              </a:solidFill>
              <a:latin typeface="ＭＳ Ｐゴシック"/>
              <a:ea typeface="ＭＳ Ｐゴシック"/>
            </a:rPr>
            <a:t>で使用</a:t>
          </a:r>
        </a:p>
        <a:p>
          <a:pPr algn="ctr" rtl="0">
            <a:defRPr sz="1000"/>
          </a:pPr>
          <a:r>
            <a:rPr lang="ja-JP" altLang="en-US" sz="800" b="1" i="0" u="none" strike="noStrike" baseline="0">
              <a:solidFill>
                <a:srgbClr val="0000FF"/>
              </a:solidFill>
              <a:latin typeface="ＭＳ Ｐゴシック"/>
              <a:ea typeface="ＭＳ Ｐゴシック"/>
            </a:rPr>
            <a:t>「作業日報」の「プロジェクト」列</a:t>
          </a:r>
        </a:p>
        <a:p>
          <a:pPr algn="ctr" rtl="0">
            <a:defRPr sz="1000"/>
          </a:pPr>
          <a:r>
            <a:rPr lang="ja-JP" altLang="en-US" sz="800" b="1" i="0" u="none" strike="noStrike" baseline="0">
              <a:solidFill>
                <a:srgbClr val="0000FF"/>
              </a:solidFill>
              <a:latin typeface="ＭＳ Ｐゴシック"/>
              <a:ea typeface="ＭＳ Ｐゴシック"/>
            </a:rPr>
            <a:t>で使用</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8.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53"/>
  </sheetPr>
  <dimension ref="A1:AX419"/>
  <sheetViews>
    <sheetView showGridLines="0" tabSelected="1" zoomScale="85" zoomScaleNormal="85" workbookViewId="0">
      <pane xSplit="8" ySplit="14" topLeftCell="I244" activePane="bottomRight" state="frozen"/>
      <selection activeCell="I15" sqref="I15:I24"/>
      <selection pane="topRight" activeCell="I15" sqref="I15:I24"/>
      <selection pane="bottomLeft" activeCell="I15" sqref="I15:I24"/>
      <selection pane="bottomRight" activeCell="V245" sqref="V245:V254"/>
    </sheetView>
  </sheetViews>
  <sheetFormatPr defaultRowHeight="11.25"/>
  <cols>
    <col min="1" max="1" width="0.375" style="5" customWidth="1"/>
    <col min="2" max="4" width="2.625" style="5" customWidth="1"/>
    <col min="5" max="5" width="6.125" style="5" bestFit="1" customWidth="1"/>
    <col min="6" max="7" width="4.625" style="5" customWidth="1"/>
    <col min="8" max="8" width="4.5" style="5" customWidth="1"/>
    <col min="9" max="10" width="17.875" style="5" customWidth="1"/>
    <col min="11" max="11" width="5.375" style="5" bestFit="1" customWidth="1"/>
    <col min="12" max="12" width="5.625" style="3" hidden="1" customWidth="1"/>
    <col min="13" max="13" width="6.75" style="3" hidden="1" customWidth="1"/>
    <col min="14" max="14" width="1.625" style="3" hidden="1" customWidth="1"/>
    <col min="15" max="16" width="5.125" style="5" customWidth="1"/>
    <col min="17" max="17" width="4.125" style="3" hidden="1" customWidth="1"/>
    <col min="18" max="18" width="4.5" style="3" hidden="1" customWidth="1"/>
    <col min="19" max="19" width="3.875" style="3" hidden="1" customWidth="1"/>
    <col min="20" max="20" width="2.625" style="3" hidden="1" customWidth="1"/>
    <col min="21" max="21" width="12.25" style="5" customWidth="1"/>
    <col min="22" max="22" width="12.625" style="5" customWidth="1"/>
    <col min="23" max="23" width="10.125" style="5" customWidth="1"/>
    <col min="24" max="24" width="19.375" style="84" customWidth="1"/>
    <col min="25" max="25" width="13.625" style="5" customWidth="1"/>
    <col min="26" max="26" width="13.125" style="5" customWidth="1"/>
    <col min="27" max="27" width="12" style="5" customWidth="1"/>
    <col min="28" max="29" width="7.625" style="5" bestFit="1" customWidth="1"/>
    <col min="30" max="30" width="9.375" style="5" bestFit="1" customWidth="1"/>
    <col min="31" max="31" width="6.75" style="5" customWidth="1"/>
    <col min="32" max="32" width="6.875" style="5" customWidth="1"/>
    <col min="33" max="33" width="7" style="5" customWidth="1"/>
    <col min="34" max="34" width="22.625" style="5" customWidth="1"/>
    <col min="35" max="35" width="17.75" style="5" customWidth="1"/>
    <col min="36" max="36" width="9.875" style="5" customWidth="1"/>
    <col min="37" max="37" width="3.125" style="5" customWidth="1"/>
    <col min="38" max="45" width="3.375" style="5" customWidth="1"/>
    <col min="46" max="16384" width="9" style="5"/>
  </cols>
  <sheetData>
    <row r="1" spans="1:50" ht="18.75" customHeight="1" thickBot="1">
      <c r="A1" s="1"/>
      <c r="B1" s="1"/>
      <c r="C1" s="1"/>
      <c r="D1" s="1"/>
      <c r="E1" s="1"/>
      <c r="F1" s="2" t="s">
        <v>0</v>
      </c>
      <c r="G1" s="1"/>
      <c r="H1" s="1"/>
      <c r="I1" s="1"/>
      <c r="J1" s="1"/>
      <c r="K1" s="1"/>
      <c r="O1" s="1"/>
      <c r="P1" s="1"/>
      <c r="U1" s="1"/>
      <c r="V1" s="1"/>
      <c r="W1" s="1"/>
      <c r="X1" s="1"/>
      <c r="Y1" s="1"/>
      <c r="Z1" s="1"/>
      <c r="AA1" s="1"/>
      <c r="AB1" s="1"/>
      <c r="AC1" s="1"/>
      <c r="AD1" s="1"/>
      <c r="AE1" s="1"/>
      <c r="AF1" s="1"/>
      <c r="AG1" s="1"/>
      <c r="AH1" s="1"/>
      <c r="AI1" s="1"/>
      <c r="AJ1" s="4" t="str">
        <f>設定!B45</f>
        <v>ver.1.56</v>
      </c>
      <c r="AK1" s="1"/>
      <c r="AL1" s="1"/>
      <c r="AM1" s="1"/>
      <c r="AN1" s="1"/>
      <c r="AO1" s="1"/>
      <c r="AP1" s="1"/>
      <c r="AQ1" s="1"/>
      <c r="AR1" s="1"/>
      <c r="AS1" s="1"/>
      <c r="AT1" s="1"/>
    </row>
    <row r="2" spans="1:50" ht="18.75" customHeight="1" thickBot="1">
      <c r="A2" s="1"/>
      <c r="B2" s="1"/>
      <c r="C2" s="1"/>
      <c r="D2" s="1"/>
      <c r="E2" s="1"/>
      <c r="F2" s="413" t="s">
        <v>1</v>
      </c>
      <c r="G2" s="414"/>
      <c r="H2" s="415"/>
      <c r="I2" s="411" t="s">
        <v>655</v>
      </c>
      <c r="J2" s="430"/>
      <c r="K2" s="412"/>
      <c r="L2" s="6"/>
      <c r="M2" s="6"/>
      <c r="N2" s="6"/>
      <c r="O2" s="419" t="s">
        <v>2</v>
      </c>
      <c r="P2" s="420"/>
      <c r="Q2" s="7"/>
      <c r="R2" s="7"/>
      <c r="S2" s="7"/>
      <c r="T2" s="7"/>
      <c r="U2" s="431" t="s">
        <v>608</v>
      </c>
      <c r="V2" s="409"/>
      <c r="W2" s="410"/>
      <c r="X2" s="432" t="str">
        <f>IF(ISERROR(VLOOKUP(U2,プロジェクトマスタ!C2:E9,3,FALSE)),U2,VLOOKUP(U2,プロジェクトマスタ!C2:E9,3,FALSE))</f>
        <v>SMC(移行導入)</v>
      </c>
      <c r="Y2" s="433"/>
      <c r="Z2" s="434"/>
      <c r="AA2" s="8" t="s">
        <v>3</v>
      </c>
      <c r="AB2" s="435">
        <v>44652</v>
      </c>
      <c r="AC2" s="436"/>
      <c r="AD2" s="9" t="s">
        <v>4</v>
      </c>
      <c r="AE2" s="408" t="s">
        <v>640</v>
      </c>
      <c r="AF2" s="409"/>
      <c r="AG2" s="410"/>
      <c r="AH2" s="9" t="s">
        <v>5</v>
      </c>
      <c r="AI2" s="411" t="s">
        <v>264</v>
      </c>
      <c r="AJ2" s="412"/>
      <c r="AK2" s="1"/>
      <c r="AL2" s="1"/>
      <c r="AM2" s="1"/>
      <c r="AN2" s="1"/>
      <c r="AO2" s="1"/>
      <c r="AP2" s="1"/>
      <c r="AQ2" s="1"/>
      <c r="AR2" s="1"/>
      <c r="AS2" s="1"/>
      <c r="AT2" s="1"/>
    </row>
    <row r="3" spans="1:50" ht="18.75" customHeight="1" thickBot="1">
      <c r="A3" s="1"/>
      <c r="B3" s="1"/>
      <c r="C3" s="1"/>
      <c r="D3" s="1"/>
      <c r="E3" s="1"/>
      <c r="F3" s="413" t="s">
        <v>6</v>
      </c>
      <c r="G3" s="414"/>
      <c r="H3" s="415"/>
      <c r="I3" s="416" t="s">
        <v>641</v>
      </c>
      <c r="J3" s="417"/>
      <c r="K3" s="418"/>
      <c r="L3" s="10"/>
      <c r="M3" s="10"/>
      <c r="N3" s="10"/>
      <c r="O3" s="419" t="s">
        <v>7</v>
      </c>
      <c r="P3" s="420"/>
      <c r="Q3" s="11"/>
      <c r="R3" s="11"/>
      <c r="S3" s="11"/>
      <c r="T3" s="11"/>
      <c r="U3" s="421" t="s">
        <v>643</v>
      </c>
      <c r="V3" s="422"/>
      <c r="W3" s="9" t="s">
        <v>8</v>
      </c>
      <c r="X3" s="12" t="s">
        <v>644</v>
      </c>
      <c r="Y3" s="8" t="s">
        <v>9</v>
      </c>
      <c r="Z3" s="13" t="s">
        <v>645</v>
      </c>
      <c r="AA3" s="14" t="s">
        <v>10</v>
      </c>
      <c r="AB3" s="423">
        <f>IF(ユーザ_開始日="","",DATE(YEAR(AB2),MONTH(AB2)+1,DAY(AB2)-1))</f>
        <v>44681</v>
      </c>
      <c r="AC3" s="424"/>
      <c r="AD3" s="9" t="s">
        <v>11</v>
      </c>
      <c r="AE3" s="425" t="s">
        <v>662</v>
      </c>
      <c r="AF3" s="426"/>
      <c r="AG3" s="427"/>
      <c r="AH3" s="9" t="s">
        <v>12</v>
      </c>
      <c r="AI3" s="428" t="s">
        <v>646</v>
      </c>
      <c r="AJ3" s="429"/>
      <c r="AK3" s="1"/>
      <c r="AL3" s="1"/>
      <c r="AM3" s="1"/>
      <c r="AN3" s="1"/>
      <c r="AO3" s="1"/>
      <c r="AP3" s="1"/>
      <c r="AQ3" s="1"/>
      <c r="AR3" s="1"/>
      <c r="AS3" s="1"/>
      <c r="AT3" s="1"/>
    </row>
    <row r="4" spans="1:50" ht="6" customHeight="1">
      <c r="A4" s="1"/>
      <c r="B4" s="1"/>
      <c r="C4" s="1"/>
      <c r="D4" s="1"/>
      <c r="E4" s="1"/>
      <c r="F4" s="1"/>
      <c r="G4" s="1"/>
      <c r="H4" s="1"/>
      <c r="I4" s="1"/>
      <c r="J4" s="1"/>
      <c r="K4" s="1"/>
      <c r="O4" s="1"/>
      <c r="P4" s="1"/>
      <c r="U4" s="1"/>
      <c r="V4" s="1"/>
      <c r="W4" s="1"/>
      <c r="X4" s="15"/>
      <c r="Y4" s="1"/>
      <c r="Z4" s="16"/>
      <c r="AA4" s="17"/>
      <c r="AB4" s="17"/>
      <c r="AC4" s="1"/>
      <c r="AD4" s="1"/>
      <c r="AE4" s="1"/>
      <c r="AF4" s="1"/>
      <c r="AG4" s="1"/>
      <c r="AH4" s="1"/>
      <c r="AI4" s="1"/>
      <c r="AJ4" s="1"/>
      <c r="AK4" s="1"/>
      <c r="AL4" s="1"/>
      <c r="AM4" s="1"/>
      <c r="AN4" s="1"/>
      <c r="AO4" s="1"/>
      <c r="AP4" s="1"/>
      <c r="AQ4" s="1"/>
      <c r="AR4" s="1"/>
      <c r="AS4" s="1"/>
      <c r="AT4" s="1"/>
    </row>
    <row r="5" spans="1:50" ht="21.75" hidden="1" customHeight="1">
      <c r="A5" s="1"/>
      <c r="B5" s="1"/>
      <c r="C5" s="1"/>
      <c r="D5" s="1"/>
      <c r="E5" s="1"/>
      <c r="F5" s="1"/>
      <c r="G5" s="1"/>
      <c r="H5" s="1"/>
      <c r="I5" s="1"/>
      <c r="J5" s="1"/>
      <c r="K5" s="1"/>
      <c r="O5" s="1"/>
      <c r="P5" s="1"/>
      <c r="U5" s="1"/>
      <c r="V5" s="1"/>
      <c r="W5" s="1"/>
      <c r="X5" s="1"/>
      <c r="Y5" s="1"/>
      <c r="Z5" s="1"/>
      <c r="AA5" s="18"/>
      <c r="AB5" s="18"/>
      <c r="AC5" s="18"/>
      <c r="AD5" s="18"/>
      <c r="AE5" s="1"/>
      <c r="AF5" s="1"/>
      <c r="AG5" s="1"/>
      <c r="AH5" s="1"/>
      <c r="AI5" s="1"/>
      <c r="AJ5" s="1"/>
      <c r="AK5" s="1"/>
      <c r="AL5" s="1"/>
      <c r="AM5" s="1"/>
      <c r="AN5" s="1"/>
      <c r="AO5" s="1"/>
      <c r="AP5" s="1"/>
      <c r="AQ5" s="1"/>
      <c r="AR5" s="1"/>
      <c r="AS5" s="1"/>
      <c r="AT5" s="1"/>
    </row>
    <row r="6" spans="1:50" ht="21.75" hidden="1" customHeight="1">
      <c r="A6" s="1"/>
      <c r="B6" s="1"/>
      <c r="C6" s="1"/>
      <c r="D6" s="1"/>
      <c r="E6" s="1"/>
      <c r="F6" s="1"/>
      <c r="G6" s="1"/>
      <c r="H6" s="1"/>
      <c r="I6" s="1"/>
      <c r="J6" s="1"/>
      <c r="K6" s="1"/>
      <c r="O6" s="1"/>
      <c r="P6" s="1"/>
      <c r="U6" s="1"/>
      <c r="V6" s="1"/>
      <c r="W6" s="1"/>
      <c r="X6" s="1"/>
      <c r="Y6" s="1"/>
      <c r="Z6" s="1"/>
      <c r="AA6" s="18"/>
      <c r="AB6" s="18"/>
      <c r="AC6" s="18"/>
      <c r="AD6" s="18"/>
      <c r="AE6" s="1"/>
      <c r="AF6" s="1"/>
      <c r="AG6" s="1"/>
      <c r="AH6" s="1"/>
      <c r="AI6" s="1"/>
      <c r="AJ6" s="1"/>
      <c r="AK6" s="1"/>
      <c r="AL6" s="1"/>
      <c r="AM6" s="1"/>
      <c r="AN6" s="1"/>
      <c r="AO6" s="1"/>
      <c r="AP6" s="1"/>
      <c r="AQ6" s="1"/>
      <c r="AR6" s="1"/>
      <c r="AS6" s="1"/>
      <c r="AT6" s="1"/>
    </row>
    <row r="7" spans="1:50" ht="4.5" customHeight="1">
      <c r="A7" s="1"/>
      <c r="B7" s="1"/>
      <c r="C7" s="1"/>
      <c r="D7" s="1"/>
      <c r="E7" s="1"/>
      <c r="F7" s="1"/>
      <c r="G7" s="1"/>
      <c r="H7" s="1"/>
      <c r="I7" s="1"/>
      <c r="J7" s="1"/>
      <c r="K7" s="1"/>
      <c r="O7" s="1"/>
      <c r="P7" s="1"/>
      <c r="U7" s="1"/>
      <c r="V7" s="1"/>
      <c r="W7" s="1"/>
      <c r="X7" s="17"/>
      <c r="Y7" s="1"/>
      <c r="Z7" s="17"/>
      <c r="AA7" s="17"/>
      <c r="AB7" s="17"/>
      <c r="AC7" s="1"/>
      <c r="AD7" s="1"/>
      <c r="AE7" s="1"/>
      <c r="AF7" s="1"/>
      <c r="AG7" s="1"/>
      <c r="AH7" s="1"/>
      <c r="AI7" s="1"/>
      <c r="AJ7" s="1"/>
      <c r="AK7" s="1"/>
      <c r="AL7" s="1"/>
      <c r="AM7" s="1"/>
      <c r="AN7" s="1"/>
      <c r="AO7" s="1"/>
      <c r="AP7" s="1"/>
      <c r="AQ7" s="1"/>
      <c r="AR7" s="1"/>
      <c r="AS7" s="1"/>
      <c r="AT7" s="1"/>
    </row>
    <row r="8" spans="1:50" ht="11.25" hidden="1" customHeight="1">
      <c r="A8" s="1"/>
      <c r="B8" s="1"/>
      <c r="C8" s="1"/>
      <c r="D8" s="1"/>
      <c r="E8" s="1"/>
      <c r="F8" s="1"/>
      <c r="G8" s="1"/>
      <c r="H8" s="1"/>
      <c r="I8" s="1"/>
      <c r="J8" s="1"/>
      <c r="K8" s="1"/>
      <c r="O8" s="1"/>
      <c r="P8" s="1"/>
      <c r="U8" s="1"/>
      <c r="V8" s="1"/>
      <c r="W8" s="1"/>
      <c r="X8" s="15"/>
      <c r="Y8" s="1"/>
      <c r="Z8" s="17"/>
      <c r="AA8" s="17"/>
      <c r="AB8" s="17"/>
      <c r="AC8" s="1"/>
      <c r="AD8" s="1"/>
      <c r="AE8" s="1"/>
      <c r="AF8" s="1"/>
      <c r="AG8" s="1"/>
      <c r="AH8" s="1"/>
      <c r="AI8" s="1"/>
      <c r="AJ8" s="1"/>
      <c r="AK8" s="1"/>
      <c r="AT8" s="19"/>
    </row>
    <row r="9" spans="1:50" ht="11.25" hidden="1" customHeight="1">
      <c r="A9" s="1"/>
      <c r="B9" s="1"/>
      <c r="C9" s="1"/>
      <c r="D9" s="1"/>
      <c r="E9" s="1"/>
      <c r="F9" s="1"/>
      <c r="G9" s="1"/>
      <c r="H9" s="1"/>
      <c r="I9" s="1"/>
      <c r="J9" s="1"/>
      <c r="K9" s="1"/>
      <c r="O9" s="1"/>
      <c r="P9" s="1"/>
      <c r="U9" s="1"/>
      <c r="V9" s="1"/>
      <c r="W9" s="1"/>
      <c r="X9" s="15"/>
      <c r="Y9" s="1"/>
      <c r="Z9" s="17"/>
      <c r="AA9" s="17"/>
      <c r="AB9" s="17"/>
      <c r="AC9" s="1"/>
      <c r="AD9" s="1"/>
      <c r="AE9" s="1"/>
      <c r="AF9" s="1"/>
      <c r="AG9" s="1"/>
      <c r="AH9" s="1"/>
      <c r="AI9" s="1"/>
      <c r="AJ9" s="1"/>
      <c r="AK9" s="1"/>
      <c r="AT9" s="19"/>
    </row>
    <row r="10" spans="1:50" ht="11.25" hidden="1" customHeight="1">
      <c r="A10" s="1"/>
      <c r="B10" s="20">
        <f>AB2-1</f>
        <v>44651</v>
      </c>
      <c r="C10" s="21">
        <f>AB2-1</f>
        <v>44651</v>
      </c>
      <c r="D10" s="1"/>
      <c r="E10" s="1"/>
      <c r="F10" s="1"/>
      <c r="G10" s="1"/>
      <c r="H10" s="1"/>
      <c r="I10" s="1"/>
      <c r="J10" s="1"/>
      <c r="K10" s="1"/>
      <c r="O10" s="1"/>
      <c r="P10" s="1"/>
      <c r="U10" s="1"/>
      <c r="V10" s="1"/>
      <c r="W10" s="1"/>
      <c r="X10" s="15"/>
      <c r="Y10" s="1"/>
      <c r="Z10" s="17"/>
      <c r="AA10" s="17"/>
      <c r="AB10" s="17"/>
      <c r="AC10" s="1"/>
      <c r="AD10" s="1"/>
      <c r="AE10" s="1"/>
      <c r="AF10" s="1"/>
      <c r="AG10" s="1"/>
      <c r="AH10" s="1"/>
      <c r="AI10" s="1"/>
      <c r="AJ10" s="1"/>
      <c r="AK10" s="1"/>
      <c r="AT10" s="19"/>
    </row>
    <row r="11" spans="1:50" ht="11.25" hidden="1" customHeight="1">
      <c r="A11" s="1"/>
      <c r="B11" s="1"/>
      <c r="C11" s="1"/>
      <c r="D11" s="1"/>
      <c r="E11" s="1"/>
      <c r="F11" s="1"/>
      <c r="G11" s="1"/>
      <c r="H11" s="1"/>
      <c r="I11" s="1"/>
      <c r="J11" s="1"/>
      <c r="K11" s="1"/>
      <c r="O11" s="1"/>
      <c r="P11" s="1"/>
      <c r="U11" s="1"/>
      <c r="V11" s="1"/>
      <c r="W11" s="1"/>
      <c r="X11" s="15"/>
      <c r="Y11" s="1"/>
      <c r="Z11" s="17"/>
      <c r="AA11" s="17"/>
      <c r="AB11" s="17"/>
      <c r="AC11" s="1"/>
      <c r="AD11" s="1"/>
      <c r="AE11" s="1"/>
      <c r="AF11" s="1"/>
      <c r="AG11" s="1"/>
      <c r="AH11" s="1"/>
      <c r="AI11" s="1"/>
      <c r="AJ11" s="1"/>
      <c r="AK11" s="1"/>
      <c r="AT11" s="19"/>
    </row>
    <row r="12" spans="1:50" ht="13.5" customHeight="1">
      <c r="A12" s="1"/>
      <c r="B12" s="1"/>
      <c r="C12" s="1"/>
      <c r="D12" s="1"/>
      <c r="E12" s="1"/>
      <c r="F12" s="1"/>
      <c r="G12" s="1"/>
      <c r="H12" s="1"/>
      <c r="I12" s="1"/>
      <c r="J12" s="1"/>
      <c r="K12" s="1"/>
      <c r="L12" s="22">
        <v>7.75</v>
      </c>
      <c r="M12" s="23">
        <v>0.32291666666666669</v>
      </c>
      <c r="O12" s="1"/>
      <c r="P12" s="1"/>
      <c r="U12" s="1"/>
      <c r="V12" s="1"/>
      <c r="W12" s="1"/>
      <c r="X12" s="15"/>
      <c r="Y12" s="1"/>
      <c r="Z12" s="17"/>
      <c r="AA12" s="17"/>
      <c r="AB12" s="17"/>
      <c r="AC12" s="1"/>
      <c r="AD12" s="1"/>
      <c r="AE12" s="1"/>
      <c r="AF12" s="1"/>
      <c r="AG12" s="1"/>
      <c r="AH12" s="1"/>
      <c r="AI12" s="1"/>
      <c r="AJ12" s="1"/>
      <c r="AK12" s="1"/>
      <c r="AL12" s="1"/>
      <c r="AM12" s="1"/>
      <c r="AN12" s="1"/>
      <c r="AO12" s="1"/>
      <c r="AP12" s="1"/>
      <c r="AQ12" s="1"/>
      <c r="AR12" s="1"/>
      <c r="AS12" s="1"/>
      <c r="AT12" s="1"/>
    </row>
    <row r="13" spans="1:50" ht="15" customHeight="1">
      <c r="A13" s="1"/>
      <c r="B13" s="406" t="s">
        <v>13</v>
      </c>
      <c r="C13" s="406" t="s">
        <v>14</v>
      </c>
      <c r="D13" s="406" t="s">
        <v>15</v>
      </c>
      <c r="E13" s="406" t="s">
        <v>16</v>
      </c>
      <c r="F13" s="407" t="s">
        <v>17</v>
      </c>
      <c r="G13" s="407" t="s">
        <v>18</v>
      </c>
      <c r="H13" s="406" t="s">
        <v>19</v>
      </c>
      <c r="I13" s="459" t="s">
        <v>20</v>
      </c>
      <c r="J13" s="460"/>
      <c r="K13" s="406" t="s">
        <v>21</v>
      </c>
      <c r="L13" s="461" t="s">
        <v>22</v>
      </c>
      <c r="M13" s="461" t="s">
        <v>23</v>
      </c>
      <c r="N13" s="406"/>
      <c r="O13" s="406" t="s">
        <v>24</v>
      </c>
      <c r="P13" s="406" t="s">
        <v>25</v>
      </c>
      <c r="Q13" s="24"/>
      <c r="R13" s="25"/>
      <c r="S13" s="24"/>
      <c r="T13" s="26" t="s">
        <v>26</v>
      </c>
      <c r="U13" s="406" t="s">
        <v>27</v>
      </c>
      <c r="V13" s="406" t="s">
        <v>28</v>
      </c>
      <c r="W13" s="407" t="s">
        <v>29</v>
      </c>
      <c r="X13" s="406" t="s">
        <v>30</v>
      </c>
      <c r="Y13" s="406" t="s">
        <v>31</v>
      </c>
      <c r="Z13" s="407" t="s">
        <v>32</v>
      </c>
      <c r="AA13" s="458" t="s">
        <v>33</v>
      </c>
      <c r="AB13" s="407" t="s">
        <v>34</v>
      </c>
      <c r="AC13" s="407" t="s">
        <v>35</v>
      </c>
      <c r="AD13" s="406" t="s">
        <v>36</v>
      </c>
      <c r="AE13" s="406" t="s">
        <v>37</v>
      </c>
      <c r="AF13" s="406" t="s">
        <v>38</v>
      </c>
      <c r="AG13" s="406" t="s">
        <v>39</v>
      </c>
      <c r="AH13" s="406" t="s">
        <v>40</v>
      </c>
      <c r="AI13" s="456" t="s">
        <v>642</v>
      </c>
      <c r="AJ13" s="406" t="s">
        <v>41</v>
      </c>
      <c r="AK13" s="1"/>
      <c r="AL13" s="440" t="s">
        <v>42</v>
      </c>
      <c r="AM13" s="440"/>
      <c r="AN13" s="440" t="s">
        <v>43</v>
      </c>
      <c r="AO13" s="440"/>
      <c r="AP13" s="440" t="s">
        <v>44</v>
      </c>
      <c r="AQ13" s="440"/>
      <c r="AR13" s="440" t="s">
        <v>45</v>
      </c>
      <c r="AS13" s="440"/>
      <c r="AT13" s="1"/>
    </row>
    <row r="14" spans="1:50" ht="47.25" customHeight="1">
      <c r="A14" s="1"/>
      <c r="B14" s="406"/>
      <c r="C14" s="406"/>
      <c r="D14" s="406"/>
      <c r="E14" s="406"/>
      <c r="F14" s="407"/>
      <c r="G14" s="407"/>
      <c r="H14" s="406"/>
      <c r="I14" s="24" t="s">
        <v>46</v>
      </c>
      <c r="J14" s="24" t="s">
        <v>47</v>
      </c>
      <c r="K14" s="406"/>
      <c r="L14" s="461"/>
      <c r="M14" s="461"/>
      <c r="N14" s="406"/>
      <c r="O14" s="406"/>
      <c r="P14" s="406"/>
      <c r="Q14" s="27"/>
      <c r="R14" s="27"/>
      <c r="S14" s="27"/>
      <c r="T14" s="27"/>
      <c r="U14" s="406"/>
      <c r="V14" s="406"/>
      <c r="W14" s="407"/>
      <c r="X14" s="406"/>
      <c r="Y14" s="406"/>
      <c r="Z14" s="407"/>
      <c r="AA14" s="458"/>
      <c r="AB14" s="407"/>
      <c r="AC14" s="407"/>
      <c r="AD14" s="406"/>
      <c r="AE14" s="406"/>
      <c r="AF14" s="406"/>
      <c r="AG14" s="406"/>
      <c r="AH14" s="406"/>
      <c r="AI14" s="457"/>
      <c r="AJ14" s="406"/>
      <c r="AK14" s="1"/>
      <c r="AL14" s="28" t="s">
        <v>48</v>
      </c>
      <c r="AM14" s="28" t="s">
        <v>49</v>
      </c>
      <c r="AN14" s="28" t="s">
        <v>48</v>
      </c>
      <c r="AO14" s="28" t="s">
        <v>50</v>
      </c>
      <c r="AP14" s="28" t="s">
        <v>51</v>
      </c>
      <c r="AQ14" s="28" t="s">
        <v>52</v>
      </c>
      <c r="AR14" s="28" t="s">
        <v>51</v>
      </c>
      <c r="AS14" s="28" t="s">
        <v>52</v>
      </c>
      <c r="AT14" s="29"/>
      <c r="AU14" s="30"/>
      <c r="AV14" s="30"/>
      <c r="AW14" s="31"/>
      <c r="AX14" s="30"/>
    </row>
    <row r="15" spans="1:50">
      <c r="A15" s="1"/>
      <c r="B15" s="441">
        <f>IF(B10="","",IF(B10+1&gt;$AB$3,"",B10+1))</f>
        <v>44652</v>
      </c>
      <c r="C15" s="444">
        <f>IF(C10="","",IF(C10+1&gt;$AB$3,"",C10+1))</f>
        <v>44652</v>
      </c>
      <c r="D15" s="447">
        <f>IF(C15="","",WEEKDAY(C15,1))</f>
        <v>6</v>
      </c>
      <c r="E15" s="450" t="str">
        <f>IF($D15="","",IF(NOT(ISERROR(MATCH($C15,祝日テーブル,0)=TRUE)),IF($D15=1,"法定","法定外"),IF($D15=1,"法定",IF($D15=7,"法定外",""))))</f>
        <v/>
      </c>
      <c r="F15" s="453">
        <v>900</v>
      </c>
      <c r="G15" s="453">
        <v>1745</v>
      </c>
      <c r="H15" s="470">
        <v>4.1666666666666664E-2</v>
      </c>
      <c r="I15" s="473"/>
      <c r="J15" s="473"/>
      <c r="K15" s="471"/>
      <c r="L15" s="32">
        <f>MOD(F15,100)+FLOOR(F15/100,1)*60</f>
        <v>540</v>
      </c>
      <c r="M15" s="32"/>
      <c r="N15" s="475"/>
      <c r="O15" s="33">
        <f>IF($I$3= "協力会社",M19,IF(L19&gt;=$L$12,$M$12,IF(L19&gt;0,M19,0)))</f>
        <v>0.32291666666666669</v>
      </c>
      <c r="P15" s="33">
        <f>SUMIF(AB15:AB24,"1.00",AC15:AC24)+SUMIF(AB15:AB24,"振休取得",AC15:AC24)</f>
        <v>0.32291666666666669</v>
      </c>
      <c r="Q15" s="34"/>
      <c r="R15" s="34"/>
      <c r="S15" s="34"/>
      <c r="T15" s="35"/>
      <c r="U15" s="462"/>
      <c r="V15" s="462"/>
      <c r="W15" s="36" t="s">
        <v>649</v>
      </c>
      <c r="X15" s="37" t="s">
        <v>608</v>
      </c>
      <c r="Y15" s="37"/>
      <c r="Z15" s="37" t="s">
        <v>650</v>
      </c>
      <c r="AA15" s="37"/>
      <c r="AB15" s="38" t="s">
        <v>121</v>
      </c>
      <c r="AC15" s="39">
        <v>0.32291666666666669</v>
      </c>
      <c r="AD15" s="464"/>
      <c r="AE15" s="40"/>
      <c r="AF15" s="41"/>
      <c r="AG15" s="42"/>
      <c r="AH15" s="467" t="s">
        <v>652</v>
      </c>
      <c r="AI15" s="467" t="s">
        <v>653</v>
      </c>
      <c r="AJ15" s="43"/>
      <c r="AK15" s="1"/>
      <c r="AL15" s="437"/>
      <c r="AM15" s="437"/>
      <c r="AN15" s="437"/>
      <c r="AO15" s="437"/>
      <c r="AP15" s="437"/>
      <c r="AQ15" s="437"/>
      <c r="AR15" s="437"/>
      <c r="AS15" s="437"/>
      <c r="AT15" s="29"/>
      <c r="AU15" s="30"/>
      <c r="AV15" s="30"/>
      <c r="AW15" s="30"/>
      <c r="AX15" s="30"/>
    </row>
    <row r="16" spans="1:50" ht="11.25" customHeight="1">
      <c r="A16" s="1"/>
      <c r="B16" s="442"/>
      <c r="C16" s="445"/>
      <c r="D16" s="448"/>
      <c r="E16" s="451"/>
      <c r="F16" s="454"/>
      <c r="G16" s="454"/>
      <c r="H16" s="471"/>
      <c r="I16" s="473"/>
      <c r="J16" s="473"/>
      <c r="K16" s="471"/>
      <c r="L16" s="44">
        <f>MOD(G15,100)+FLOOR(G15/100,1)*60</f>
        <v>1065</v>
      </c>
      <c r="M16" s="44"/>
      <c r="N16" s="476"/>
      <c r="O16" s="45"/>
      <c r="P16" s="46"/>
      <c r="Q16" s="47"/>
      <c r="R16" s="47"/>
      <c r="S16" s="47"/>
      <c r="T16" s="48"/>
      <c r="U16" s="462"/>
      <c r="V16" s="462"/>
      <c r="W16" s="36"/>
      <c r="X16" s="49"/>
      <c r="Y16" s="50"/>
      <c r="Z16" s="50"/>
      <c r="AA16" s="50"/>
      <c r="AB16" s="51"/>
      <c r="AC16" s="52"/>
      <c r="AD16" s="465"/>
      <c r="AE16" s="53"/>
      <c r="AF16" s="54"/>
      <c r="AG16" s="55"/>
      <c r="AH16" s="468"/>
      <c r="AI16" s="468"/>
      <c r="AJ16" s="55"/>
      <c r="AK16" s="1"/>
      <c r="AL16" s="438"/>
      <c r="AM16" s="438"/>
      <c r="AN16" s="438"/>
      <c r="AO16" s="438"/>
      <c r="AP16" s="438"/>
      <c r="AQ16" s="438"/>
      <c r="AR16" s="438"/>
      <c r="AS16" s="438"/>
      <c r="AT16" s="29"/>
      <c r="AU16" s="30"/>
      <c r="AV16" s="30"/>
      <c r="AW16" s="30"/>
      <c r="AX16" s="30"/>
    </row>
    <row r="17" spans="1:50" ht="11.25" customHeight="1">
      <c r="A17" s="1"/>
      <c r="B17" s="442"/>
      <c r="C17" s="445"/>
      <c r="D17" s="448"/>
      <c r="E17" s="451"/>
      <c r="F17" s="454"/>
      <c r="G17" s="454"/>
      <c r="H17" s="471"/>
      <c r="I17" s="473"/>
      <c r="J17" s="473"/>
      <c r="K17" s="471"/>
      <c r="L17" s="44">
        <f>L16-L15</f>
        <v>525</v>
      </c>
      <c r="M17" s="44"/>
      <c r="N17" s="476"/>
      <c r="O17" s="46"/>
      <c r="P17" s="45">
        <f>SUMIF(AB15:AB24,"有休",AC15:AC24)+SUMIF(AB15:AB24,"無給休",AC15:AC24)+SUMIF(AB15:AB24,"振休",AC15:AC24)+SUMIF(AB15:AB24,"特休",AC15:AC24)</f>
        <v>0</v>
      </c>
      <c r="Q17" s="47"/>
      <c r="R17" s="47"/>
      <c r="S17" s="47"/>
      <c r="T17" s="48"/>
      <c r="U17" s="462"/>
      <c r="V17" s="462"/>
      <c r="W17" s="36"/>
      <c r="X17" s="49"/>
      <c r="Y17" s="50"/>
      <c r="Z17" s="50"/>
      <c r="AA17" s="50"/>
      <c r="AB17" s="51"/>
      <c r="AC17" s="52"/>
      <c r="AD17" s="465"/>
      <c r="AE17" s="53"/>
      <c r="AF17" s="54"/>
      <c r="AG17" s="55"/>
      <c r="AH17" s="468"/>
      <c r="AI17" s="468"/>
      <c r="AJ17" s="54"/>
      <c r="AK17" s="1"/>
      <c r="AL17" s="438"/>
      <c r="AM17" s="438"/>
      <c r="AN17" s="438"/>
      <c r="AO17" s="438"/>
      <c r="AP17" s="438"/>
      <c r="AQ17" s="438"/>
      <c r="AR17" s="438"/>
      <c r="AS17" s="438"/>
      <c r="AT17" s="29"/>
      <c r="AU17" s="30"/>
      <c r="AV17" s="30"/>
      <c r="AW17" s="30"/>
      <c r="AX17" s="30"/>
    </row>
    <row r="18" spans="1:50" ht="11.25" customHeight="1">
      <c r="A18" s="1"/>
      <c r="B18" s="442"/>
      <c r="C18" s="445"/>
      <c r="D18" s="448"/>
      <c r="E18" s="451"/>
      <c r="F18" s="454"/>
      <c r="G18" s="454"/>
      <c r="H18" s="471"/>
      <c r="I18" s="473"/>
      <c r="J18" s="473"/>
      <c r="K18" s="471"/>
      <c r="L18" s="44">
        <f>ROUNDUP(L17/60,2)</f>
        <v>8.75</v>
      </c>
      <c r="M18" s="44"/>
      <c r="N18" s="476"/>
      <c r="O18" s="46"/>
      <c r="P18" s="46"/>
      <c r="Q18" s="47"/>
      <c r="R18" s="47"/>
      <c r="S18" s="47"/>
      <c r="T18" s="48"/>
      <c r="U18" s="462"/>
      <c r="V18" s="462"/>
      <c r="W18" s="36"/>
      <c r="X18" s="49"/>
      <c r="Y18" s="50"/>
      <c r="Z18" s="50"/>
      <c r="AA18" s="50"/>
      <c r="AB18" s="51"/>
      <c r="AC18" s="52"/>
      <c r="AD18" s="465"/>
      <c r="AE18" s="53"/>
      <c r="AF18" s="54"/>
      <c r="AG18" s="55"/>
      <c r="AH18" s="468"/>
      <c r="AI18" s="468"/>
      <c r="AJ18" s="55"/>
      <c r="AK18" s="1"/>
      <c r="AL18" s="438"/>
      <c r="AM18" s="438"/>
      <c r="AN18" s="438"/>
      <c r="AO18" s="438"/>
      <c r="AP18" s="438"/>
      <c r="AQ18" s="438"/>
      <c r="AR18" s="438"/>
      <c r="AS18" s="438"/>
      <c r="AT18" s="29"/>
      <c r="AU18" s="30"/>
      <c r="AV18" s="30"/>
      <c r="AW18" s="30"/>
      <c r="AX18" s="30"/>
    </row>
    <row r="19" spans="1:50" ht="11.25" customHeight="1">
      <c r="A19" s="1"/>
      <c r="B19" s="442"/>
      <c r="C19" s="445"/>
      <c r="D19" s="448"/>
      <c r="E19" s="451"/>
      <c r="F19" s="454"/>
      <c r="G19" s="454"/>
      <c r="H19" s="471"/>
      <c r="I19" s="473"/>
      <c r="J19" s="473"/>
      <c r="K19" s="471"/>
      <c r="L19" s="44">
        <f>IF(L18&gt;0,L18-HOUR(H15)-MINUTE(H15)/60,0)</f>
        <v>7.75</v>
      </c>
      <c r="M19" s="56">
        <f>TIME(L19-MOD(L19,1),MOD(L19,1)*60,0)</f>
        <v>0.32291666666666669</v>
      </c>
      <c r="N19" s="476"/>
      <c r="O19" s="45">
        <f>M21</f>
        <v>0</v>
      </c>
      <c r="P19" s="45">
        <f>SUMIF(AB15:AB24,"1.25",AC15:AC24)+SUMIF(AB15:AB24,"他時間外",AC15:AC24)+SUMIF(AB15:AB24,"1.35",AC15:AC24)</f>
        <v>0</v>
      </c>
      <c r="Q19" s="47"/>
      <c r="R19" s="47"/>
      <c r="S19" s="47"/>
      <c r="T19" s="48"/>
      <c r="U19" s="462"/>
      <c r="V19" s="462"/>
      <c r="W19" s="36"/>
      <c r="X19" s="49"/>
      <c r="Y19" s="50"/>
      <c r="Z19" s="50"/>
      <c r="AA19" s="50"/>
      <c r="AB19" s="51"/>
      <c r="AC19" s="52"/>
      <c r="AD19" s="465"/>
      <c r="AE19" s="53"/>
      <c r="AF19" s="54"/>
      <c r="AG19" s="55"/>
      <c r="AH19" s="468"/>
      <c r="AI19" s="468"/>
      <c r="AJ19" s="55"/>
      <c r="AK19" s="1"/>
      <c r="AL19" s="438"/>
      <c r="AM19" s="438"/>
      <c r="AN19" s="438"/>
      <c r="AO19" s="438"/>
      <c r="AP19" s="438"/>
      <c r="AQ19" s="438"/>
      <c r="AR19" s="438"/>
      <c r="AS19" s="438"/>
      <c r="AT19" s="29"/>
      <c r="AU19" s="30"/>
      <c r="AV19" s="30"/>
      <c r="AW19" s="30"/>
      <c r="AX19" s="30"/>
    </row>
    <row r="20" spans="1:50" ht="11.25" customHeight="1">
      <c r="A20" s="1"/>
      <c r="B20" s="442"/>
      <c r="C20" s="445"/>
      <c r="D20" s="448"/>
      <c r="E20" s="451"/>
      <c r="F20" s="454"/>
      <c r="G20" s="454"/>
      <c r="H20" s="471"/>
      <c r="I20" s="473"/>
      <c r="J20" s="473"/>
      <c r="K20" s="471"/>
      <c r="L20" s="44">
        <f>L19-$L$12</f>
        <v>0</v>
      </c>
      <c r="M20" s="44"/>
      <c r="N20" s="476"/>
      <c r="O20" s="46"/>
      <c r="P20" s="46"/>
      <c r="Q20" s="47"/>
      <c r="R20" s="47"/>
      <c r="S20" s="47"/>
      <c r="T20" s="48"/>
      <c r="U20" s="462"/>
      <c r="V20" s="462"/>
      <c r="W20" s="36"/>
      <c r="X20" s="49"/>
      <c r="Y20" s="50"/>
      <c r="Z20" s="50"/>
      <c r="AA20" s="50"/>
      <c r="AB20" s="51"/>
      <c r="AC20" s="52"/>
      <c r="AD20" s="465"/>
      <c r="AE20" s="53"/>
      <c r="AF20" s="54"/>
      <c r="AG20" s="55"/>
      <c r="AH20" s="468"/>
      <c r="AI20" s="468"/>
      <c r="AJ20" s="55"/>
      <c r="AK20" s="1"/>
      <c r="AL20" s="438"/>
      <c r="AM20" s="438"/>
      <c r="AN20" s="438"/>
      <c r="AO20" s="438"/>
      <c r="AP20" s="438"/>
      <c r="AQ20" s="438"/>
      <c r="AR20" s="438"/>
      <c r="AS20" s="438"/>
      <c r="AT20" s="29"/>
      <c r="AU20" s="30"/>
      <c r="AV20" s="30"/>
      <c r="AW20" s="30"/>
      <c r="AX20" s="30"/>
    </row>
    <row r="21" spans="1:50" ht="11.25" customHeight="1">
      <c r="A21" s="1"/>
      <c r="B21" s="442"/>
      <c r="C21" s="445"/>
      <c r="D21" s="448"/>
      <c r="E21" s="451"/>
      <c r="F21" s="454"/>
      <c r="G21" s="454"/>
      <c r="H21" s="471"/>
      <c r="I21" s="473"/>
      <c r="J21" s="473"/>
      <c r="K21" s="471"/>
      <c r="L21" s="44">
        <f>IF($I$3= "協力会社",0,IF(L20&gt;0,L20,0))</f>
        <v>0</v>
      </c>
      <c r="M21" s="56">
        <f>TIME(L21-MOD(L21,1),MOD(L21,1)*60,0)</f>
        <v>0</v>
      </c>
      <c r="N21" s="476"/>
      <c r="O21" s="46"/>
      <c r="P21" s="45">
        <f>SUMIF(AB15:AB24,"0.25深夜",AC15:AC24)</f>
        <v>0</v>
      </c>
      <c r="Q21" s="47"/>
      <c r="R21" s="47"/>
      <c r="S21" s="47"/>
      <c r="T21" s="48"/>
      <c r="U21" s="462"/>
      <c r="V21" s="462"/>
      <c r="W21" s="36"/>
      <c r="X21" s="49"/>
      <c r="Y21" s="50"/>
      <c r="Z21" s="50"/>
      <c r="AA21" s="50"/>
      <c r="AB21" s="51"/>
      <c r="AC21" s="52"/>
      <c r="AD21" s="465"/>
      <c r="AE21" s="53"/>
      <c r="AF21" s="54"/>
      <c r="AG21" s="55"/>
      <c r="AH21" s="468"/>
      <c r="AI21" s="468"/>
      <c r="AJ21" s="55"/>
      <c r="AK21" s="1"/>
      <c r="AL21" s="438"/>
      <c r="AM21" s="438"/>
      <c r="AN21" s="438"/>
      <c r="AO21" s="438"/>
      <c r="AP21" s="438"/>
      <c r="AQ21" s="438"/>
      <c r="AR21" s="438"/>
      <c r="AS21" s="438"/>
      <c r="AT21" s="29"/>
      <c r="AU21" s="30"/>
      <c r="AV21" s="30"/>
      <c r="AW21" s="30"/>
      <c r="AX21" s="30"/>
    </row>
    <row r="22" spans="1:50" ht="11.25" customHeight="1">
      <c r="A22" s="1"/>
      <c r="B22" s="442"/>
      <c r="C22" s="445"/>
      <c r="D22" s="448"/>
      <c r="E22" s="451"/>
      <c r="F22" s="454"/>
      <c r="G22" s="454"/>
      <c r="H22" s="471"/>
      <c r="I22" s="473"/>
      <c r="J22" s="473"/>
      <c r="K22" s="471"/>
      <c r="L22" s="44"/>
      <c r="M22" s="44"/>
      <c r="N22" s="476"/>
      <c r="O22" s="46"/>
      <c r="P22" s="46"/>
      <c r="Q22" s="47"/>
      <c r="R22" s="47"/>
      <c r="S22" s="47"/>
      <c r="T22" s="48"/>
      <c r="U22" s="462"/>
      <c r="V22" s="462"/>
      <c r="W22" s="36"/>
      <c r="X22" s="49"/>
      <c r="Y22" s="50"/>
      <c r="Z22" s="50"/>
      <c r="AA22" s="50"/>
      <c r="AB22" s="51"/>
      <c r="AC22" s="52"/>
      <c r="AD22" s="465"/>
      <c r="AE22" s="53"/>
      <c r="AF22" s="54"/>
      <c r="AG22" s="55"/>
      <c r="AH22" s="468"/>
      <c r="AI22" s="468"/>
      <c r="AJ22" s="55"/>
      <c r="AK22" s="1"/>
      <c r="AL22" s="438"/>
      <c r="AM22" s="438"/>
      <c r="AN22" s="438"/>
      <c r="AO22" s="438"/>
      <c r="AP22" s="438"/>
      <c r="AQ22" s="438"/>
      <c r="AR22" s="438"/>
      <c r="AS22" s="438"/>
      <c r="AT22" s="29"/>
      <c r="AU22" s="30"/>
      <c r="AV22" s="30"/>
      <c r="AW22" s="30"/>
      <c r="AX22" s="30"/>
    </row>
    <row r="23" spans="1:50" ht="11.25" customHeight="1">
      <c r="A23" s="1"/>
      <c r="B23" s="442"/>
      <c r="C23" s="445"/>
      <c r="D23" s="448"/>
      <c r="E23" s="451"/>
      <c r="F23" s="454"/>
      <c r="G23" s="454"/>
      <c r="H23" s="471"/>
      <c r="I23" s="473"/>
      <c r="J23" s="473"/>
      <c r="K23" s="471"/>
      <c r="L23" s="44"/>
      <c r="M23" s="44"/>
      <c r="N23" s="478"/>
      <c r="O23" s="57">
        <f>O15+O19</f>
        <v>0.32291666666666669</v>
      </c>
      <c r="P23" s="57">
        <f>SUM(P15:P19)</f>
        <v>0.32291666666666669</v>
      </c>
      <c r="Q23" s="58"/>
      <c r="R23" s="47"/>
      <c r="S23" s="47"/>
      <c r="T23" s="48"/>
      <c r="U23" s="462"/>
      <c r="V23" s="462"/>
      <c r="W23" s="36"/>
      <c r="X23" s="49"/>
      <c r="Y23" s="49"/>
      <c r="Z23" s="49"/>
      <c r="AA23" s="49"/>
      <c r="AB23" s="51"/>
      <c r="AC23" s="52"/>
      <c r="AD23" s="465"/>
      <c r="AE23" s="53"/>
      <c r="AF23" s="59"/>
      <c r="AG23" s="60"/>
      <c r="AH23" s="468"/>
      <c r="AI23" s="468"/>
      <c r="AJ23" s="55"/>
      <c r="AK23" s="1"/>
      <c r="AL23" s="438"/>
      <c r="AM23" s="438"/>
      <c r="AN23" s="438"/>
      <c r="AO23" s="438"/>
      <c r="AP23" s="438"/>
      <c r="AQ23" s="438"/>
      <c r="AR23" s="438"/>
      <c r="AS23" s="438"/>
      <c r="AT23" s="29"/>
      <c r="AU23" s="30"/>
      <c r="AV23" s="30"/>
      <c r="AW23" s="30"/>
      <c r="AX23" s="30"/>
    </row>
    <row r="24" spans="1:50" ht="11.25" customHeight="1">
      <c r="A24" s="1"/>
      <c r="B24" s="443"/>
      <c r="C24" s="446"/>
      <c r="D24" s="449"/>
      <c r="E24" s="452"/>
      <c r="F24" s="455"/>
      <c r="G24" s="455"/>
      <c r="H24" s="472"/>
      <c r="I24" s="474"/>
      <c r="J24" s="474"/>
      <c r="K24" s="472"/>
      <c r="L24" s="61"/>
      <c r="M24" s="61"/>
      <c r="N24" s="477"/>
      <c r="O24" s="62"/>
      <c r="P24" s="62"/>
      <c r="Q24" s="63"/>
      <c r="R24" s="63"/>
      <c r="S24" s="63"/>
      <c r="T24" s="64"/>
      <c r="U24" s="463"/>
      <c r="V24" s="463"/>
      <c r="W24" s="65"/>
      <c r="X24" s="66"/>
      <c r="Y24" s="67"/>
      <c r="Z24" s="67"/>
      <c r="AA24" s="67"/>
      <c r="AB24" s="68"/>
      <c r="AC24" s="69"/>
      <c r="AD24" s="466"/>
      <c r="AE24" s="70"/>
      <c r="AF24" s="71"/>
      <c r="AG24" s="72"/>
      <c r="AH24" s="469"/>
      <c r="AI24" s="469"/>
      <c r="AJ24" s="72"/>
      <c r="AK24" s="1"/>
      <c r="AL24" s="439"/>
      <c r="AM24" s="439"/>
      <c r="AN24" s="439"/>
      <c r="AO24" s="439"/>
      <c r="AP24" s="439"/>
      <c r="AQ24" s="439"/>
      <c r="AR24" s="439"/>
      <c r="AS24" s="439"/>
      <c r="AT24" s="29"/>
      <c r="AU24" s="30"/>
      <c r="AV24" s="30"/>
      <c r="AW24" s="30"/>
      <c r="AX24" s="30"/>
    </row>
    <row r="25" spans="1:50" ht="11.25" customHeight="1">
      <c r="A25" s="1"/>
      <c r="B25" s="441">
        <f>IF(B15="","",IF(B15+1&gt;$AB$3,"",B15+1))</f>
        <v>44653</v>
      </c>
      <c r="C25" s="444">
        <f>IF(C15="","",IF(C15+1&gt;$AB$3,"",C15+1))</f>
        <v>44653</v>
      </c>
      <c r="D25" s="447">
        <f>IF(C25="","",WEEKDAY(C25,1))</f>
        <v>7</v>
      </c>
      <c r="E25" s="450" t="str">
        <f>IF($D25="","",IF(NOT(ISERROR(MATCH($C25,祝日テーブル,0)=TRUE)),IF($D25=1,"法定","法定外"),IF($D25=1,"法定",IF($D25=7,"法定外",""))))</f>
        <v>法定外</v>
      </c>
      <c r="F25" s="453"/>
      <c r="G25" s="453"/>
      <c r="H25" s="470">
        <v>4.1666666666666664E-2</v>
      </c>
      <c r="I25" s="473"/>
      <c r="J25" s="473"/>
      <c r="K25" s="470"/>
      <c r="L25" s="32">
        <f>MOD(F25,100)+FLOOR(F25/100,1)*60</f>
        <v>0</v>
      </c>
      <c r="M25" s="32"/>
      <c r="N25" s="475"/>
      <c r="O25" s="33">
        <f>IF($I$3= "協力会社",M29,IF(L29&gt;=$L$12,$M$12,IF(L29&gt;0,M29,0)))</f>
        <v>0</v>
      </c>
      <c r="P25" s="33">
        <f>SUMIF(AB25:AB34,"1.00",AC25:AC34)+SUMIF(AB25:AB34,"振休取得",AC25:AC34)</f>
        <v>0</v>
      </c>
      <c r="Q25" s="34"/>
      <c r="R25" s="34"/>
      <c r="S25" s="34"/>
      <c r="T25" s="35"/>
      <c r="U25" s="462"/>
      <c r="V25" s="462"/>
      <c r="W25" s="36"/>
      <c r="X25" s="37"/>
      <c r="Y25" s="37"/>
      <c r="Z25" s="37"/>
      <c r="AA25" s="37"/>
      <c r="AB25" s="38"/>
      <c r="AC25" s="39"/>
      <c r="AD25" s="464"/>
      <c r="AE25" s="40"/>
      <c r="AF25" s="41"/>
      <c r="AG25" s="42"/>
      <c r="AH25" s="467"/>
      <c r="AI25" s="467"/>
      <c r="AJ25" s="73"/>
      <c r="AK25" s="1"/>
      <c r="AL25" s="437"/>
      <c r="AM25" s="437"/>
      <c r="AN25" s="437"/>
      <c r="AO25" s="437"/>
      <c r="AP25" s="437"/>
      <c r="AQ25" s="437"/>
      <c r="AR25" s="437"/>
      <c r="AS25" s="437"/>
      <c r="AT25" s="29"/>
      <c r="AU25" s="30"/>
      <c r="AV25" s="30"/>
      <c r="AW25" s="30"/>
      <c r="AX25" s="30"/>
    </row>
    <row r="26" spans="1:50" ht="11.25" customHeight="1">
      <c r="A26" s="1"/>
      <c r="B26" s="442"/>
      <c r="C26" s="445"/>
      <c r="D26" s="448"/>
      <c r="E26" s="451"/>
      <c r="F26" s="454"/>
      <c r="G26" s="454"/>
      <c r="H26" s="471"/>
      <c r="I26" s="473"/>
      <c r="J26" s="473"/>
      <c r="K26" s="471"/>
      <c r="L26" s="44">
        <f>MOD(G25,100)+FLOOR(G25/100,1)*60</f>
        <v>0</v>
      </c>
      <c r="M26" s="44"/>
      <c r="N26" s="476"/>
      <c r="O26" s="45"/>
      <c r="P26" s="46"/>
      <c r="Q26" s="47"/>
      <c r="R26" s="47"/>
      <c r="S26" s="47"/>
      <c r="T26" s="48"/>
      <c r="U26" s="462"/>
      <c r="V26" s="462"/>
      <c r="W26" s="36"/>
      <c r="X26" s="49"/>
      <c r="Y26" s="50"/>
      <c r="Z26" s="50"/>
      <c r="AA26" s="50"/>
      <c r="AB26" s="51"/>
      <c r="AC26" s="52"/>
      <c r="AD26" s="465"/>
      <c r="AE26" s="53"/>
      <c r="AF26" s="54"/>
      <c r="AG26" s="55"/>
      <c r="AH26" s="468"/>
      <c r="AI26" s="468"/>
      <c r="AJ26" s="55"/>
      <c r="AK26" s="1"/>
      <c r="AL26" s="438"/>
      <c r="AM26" s="438"/>
      <c r="AN26" s="438"/>
      <c r="AO26" s="438"/>
      <c r="AP26" s="438"/>
      <c r="AQ26" s="438"/>
      <c r="AR26" s="438"/>
      <c r="AS26" s="438"/>
      <c r="AT26" s="29"/>
      <c r="AU26" s="30"/>
      <c r="AV26" s="30"/>
      <c r="AW26" s="30"/>
      <c r="AX26" s="30"/>
    </row>
    <row r="27" spans="1:50" ht="11.25" customHeight="1">
      <c r="A27" s="1"/>
      <c r="B27" s="442"/>
      <c r="C27" s="445"/>
      <c r="D27" s="448"/>
      <c r="E27" s="451"/>
      <c r="F27" s="454"/>
      <c r="G27" s="454"/>
      <c r="H27" s="471"/>
      <c r="I27" s="473"/>
      <c r="J27" s="473"/>
      <c r="K27" s="471"/>
      <c r="L27" s="44">
        <f>L26-L25</f>
        <v>0</v>
      </c>
      <c r="M27" s="44"/>
      <c r="N27" s="476"/>
      <c r="O27" s="46"/>
      <c r="P27" s="45">
        <f>SUMIF(AB25:AB34,"有休",AC25:AC34)+SUMIF(AB25:AB34,"無給休",AC25:AC34)+SUMIF(AB25:AB34,"振休",AC25:AC34)+SUMIF(AB25:AB34,"特休",AC25:AC34)</f>
        <v>0</v>
      </c>
      <c r="Q27" s="47"/>
      <c r="R27" s="47"/>
      <c r="S27" s="47"/>
      <c r="T27" s="48"/>
      <c r="U27" s="462"/>
      <c r="V27" s="462"/>
      <c r="W27" s="36"/>
      <c r="X27" s="49"/>
      <c r="Y27" s="50"/>
      <c r="Z27" s="50"/>
      <c r="AA27" s="50"/>
      <c r="AB27" s="51"/>
      <c r="AC27" s="52"/>
      <c r="AD27" s="465"/>
      <c r="AE27" s="53"/>
      <c r="AF27" s="54"/>
      <c r="AG27" s="55"/>
      <c r="AH27" s="468"/>
      <c r="AI27" s="468"/>
      <c r="AJ27" s="54"/>
      <c r="AK27" s="1"/>
      <c r="AL27" s="438"/>
      <c r="AM27" s="438"/>
      <c r="AN27" s="438"/>
      <c r="AO27" s="438"/>
      <c r="AP27" s="438"/>
      <c r="AQ27" s="438"/>
      <c r="AR27" s="438"/>
      <c r="AS27" s="438"/>
      <c r="AT27" s="29"/>
      <c r="AU27" s="30"/>
      <c r="AV27" s="30"/>
      <c r="AW27" s="30"/>
      <c r="AX27" s="30"/>
    </row>
    <row r="28" spans="1:50" ht="11.25" customHeight="1">
      <c r="A28" s="1"/>
      <c r="B28" s="442"/>
      <c r="C28" s="445"/>
      <c r="D28" s="448"/>
      <c r="E28" s="451"/>
      <c r="F28" s="454"/>
      <c r="G28" s="454"/>
      <c r="H28" s="471"/>
      <c r="I28" s="473"/>
      <c r="J28" s="473"/>
      <c r="K28" s="471"/>
      <c r="L28" s="44">
        <f>ROUNDUP(L27/60,2)</f>
        <v>0</v>
      </c>
      <c r="M28" s="44"/>
      <c r="N28" s="476"/>
      <c r="O28" s="46"/>
      <c r="P28" s="46"/>
      <c r="Q28" s="47"/>
      <c r="R28" s="47"/>
      <c r="S28" s="47"/>
      <c r="T28" s="48"/>
      <c r="U28" s="462"/>
      <c r="V28" s="462"/>
      <c r="W28" s="36"/>
      <c r="X28" s="49"/>
      <c r="Y28" s="50"/>
      <c r="Z28" s="50"/>
      <c r="AA28" s="50"/>
      <c r="AB28" s="51"/>
      <c r="AC28" s="52"/>
      <c r="AD28" s="465"/>
      <c r="AE28" s="53"/>
      <c r="AF28" s="54"/>
      <c r="AG28" s="55"/>
      <c r="AH28" s="468"/>
      <c r="AI28" s="468"/>
      <c r="AJ28" s="55"/>
      <c r="AK28" s="1"/>
      <c r="AL28" s="438"/>
      <c r="AM28" s="438"/>
      <c r="AN28" s="438"/>
      <c r="AO28" s="438"/>
      <c r="AP28" s="438"/>
      <c r="AQ28" s="438"/>
      <c r="AR28" s="438"/>
      <c r="AS28" s="438"/>
      <c r="AT28" s="29"/>
      <c r="AU28" s="30"/>
      <c r="AV28" s="30"/>
      <c r="AW28" s="30"/>
      <c r="AX28" s="30"/>
    </row>
    <row r="29" spans="1:50" ht="11.25" customHeight="1">
      <c r="A29" s="1"/>
      <c r="B29" s="442"/>
      <c r="C29" s="445"/>
      <c r="D29" s="448"/>
      <c r="E29" s="451"/>
      <c r="F29" s="454"/>
      <c r="G29" s="454"/>
      <c r="H29" s="471"/>
      <c r="I29" s="473"/>
      <c r="J29" s="473"/>
      <c r="K29" s="471"/>
      <c r="L29" s="44">
        <f>IF(L28&gt;0,L28-HOUR(H25)-MINUTE(H25)/60,0)</f>
        <v>0</v>
      </c>
      <c r="M29" s="56">
        <f>TIME(L29-MOD(L29,1),MOD(L29,1)*60,0)</f>
        <v>0</v>
      </c>
      <c r="N29" s="476"/>
      <c r="O29" s="45">
        <f>M31</f>
        <v>0</v>
      </c>
      <c r="P29" s="45">
        <f>SUMIF(AB25:AB34,"1.25",AC25:AC34)+SUMIF(AB25:AB34,"他時間外",AC25:AC34)+SUMIF(AB25:AB34,"1.35",AC25:AC34)</f>
        <v>0</v>
      </c>
      <c r="Q29" s="47"/>
      <c r="R29" s="47"/>
      <c r="S29" s="47"/>
      <c r="T29" s="48"/>
      <c r="U29" s="462"/>
      <c r="V29" s="462"/>
      <c r="W29" s="36"/>
      <c r="X29" s="49"/>
      <c r="Y29" s="50"/>
      <c r="Z29" s="50"/>
      <c r="AA29" s="50"/>
      <c r="AB29" s="51"/>
      <c r="AC29" s="52"/>
      <c r="AD29" s="465"/>
      <c r="AE29" s="53"/>
      <c r="AF29" s="54"/>
      <c r="AG29" s="55"/>
      <c r="AH29" s="468"/>
      <c r="AI29" s="468"/>
      <c r="AJ29" s="55"/>
      <c r="AK29" s="1"/>
      <c r="AL29" s="438"/>
      <c r="AM29" s="438"/>
      <c r="AN29" s="438"/>
      <c r="AO29" s="438"/>
      <c r="AP29" s="438"/>
      <c r="AQ29" s="438"/>
      <c r="AR29" s="438"/>
      <c r="AS29" s="438"/>
      <c r="AT29" s="29"/>
      <c r="AU29" s="30"/>
      <c r="AV29" s="30"/>
      <c r="AW29" s="30"/>
      <c r="AX29" s="30"/>
    </row>
    <row r="30" spans="1:50" ht="11.25" customHeight="1">
      <c r="A30" s="1"/>
      <c r="B30" s="442"/>
      <c r="C30" s="445"/>
      <c r="D30" s="448"/>
      <c r="E30" s="451"/>
      <c r="F30" s="454"/>
      <c r="G30" s="454"/>
      <c r="H30" s="471"/>
      <c r="I30" s="473"/>
      <c r="J30" s="473"/>
      <c r="K30" s="471"/>
      <c r="L30" s="44">
        <f>L29-$L$12</f>
        <v>-7.75</v>
      </c>
      <c r="M30" s="44"/>
      <c r="N30" s="476"/>
      <c r="O30" s="46"/>
      <c r="P30" s="46"/>
      <c r="Q30" s="47"/>
      <c r="R30" s="47"/>
      <c r="S30" s="47"/>
      <c r="T30" s="48"/>
      <c r="U30" s="462"/>
      <c r="V30" s="462"/>
      <c r="W30" s="36"/>
      <c r="X30" s="49"/>
      <c r="Y30" s="50"/>
      <c r="Z30" s="50"/>
      <c r="AA30" s="50"/>
      <c r="AB30" s="51"/>
      <c r="AC30" s="52"/>
      <c r="AD30" s="465"/>
      <c r="AE30" s="53"/>
      <c r="AF30" s="54"/>
      <c r="AG30" s="55"/>
      <c r="AH30" s="468"/>
      <c r="AI30" s="468"/>
      <c r="AJ30" s="55"/>
      <c r="AK30" s="1"/>
      <c r="AL30" s="438"/>
      <c r="AM30" s="438"/>
      <c r="AN30" s="438"/>
      <c r="AO30" s="438"/>
      <c r="AP30" s="438"/>
      <c r="AQ30" s="438"/>
      <c r="AR30" s="438"/>
      <c r="AS30" s="438"/>
      <c r="AT30" s="29"/>
      <c r="AU30" s="30"/>
      <c r="AV30" s="30"/>
      <c r="AW30" s="30"/>
      <c r="AX30" s="30"/>
    </row>
    <row r="31" spans="1:50" ht="11.25" customHeight="1">
      <c r="A31" s="1"/>
      <c r="B31" s="442"/>
      <c r="C31" s="445"/>
      <c r="D31" s="448"/>
      <c r="E31" s="451"/>
      <c r="F31" s="454"/>
      <c r="G31" s="454"/>
      <c r="H31" s="471"/>
      <c r="I31" s="473"/>
      <c r="J31" s="473"/>
      <c r="K31" s="471"/>
      <c r="L31" s="44">
        <f>IF($I$3= "協力会社",0,IF(L30&gt;0,L30,0))</f>
        <v>0</v>
      </c>
      <c r="M31" s="56">
        <f>TIME(L31-MOD(L31,1),MOD(L31,1)*60,0)</f>
        <v>0</v>
      </c>
      <c r="N31" s="476"/>
      <c r="O31" s="46"/>
      <c r="P31" s="45">
        <f>SUMIF(AB25:AB34,"0.25深夜",AC25:AC34)</f>
        <v>0</v>
      </c>
      <c r="Q31" s="47"/>
      <c r="R31" s="47"/>
      <c r="S31" s="47"/>
      <c r="T31" s="48"/>
      <c r="U31" s="462"/>
      <c r="V31" s="462"/>
      <c r="W31" s="36"/>
      <c r="X31" s="49"/>
      <c r="Y31" s="50"/>
      <c r="Z31" s="50"/>
      <c r="AA31" s="50"/>
      <c r="AB31" s="51"/>
      <c r="AC31" s="52"/>
      <c r="AD31" s="465"/>
      <c r="AE31" s="53"/>
      <c r="AF31" s="54"/>
      <c r="AG31" s="55"/>
      <c r="AH31" s="468"/>
      <c r="AI31" s="468"/>
      <c r="AJ31" s="55"/>
      <c r="AK31" s="1"/>
      <c r="AL31" s="438"/>
      <c r="AM31" s="438"/>
      <c r="AN31" s="438"/>
      <c r="AO31" s="438"/>
      <c r="AP31" s="438"/>
      <c r="AQ31" s="438"/>
      <c r="AR31" s="438"/>
      <c r="AS31" s="438"/>
      <c r="AT31" s="29"/>
      <c r="AU31" s="30"/>
      <c r="AV31" s="30"/>
      <c r="AW31" s="30"/>
      <c r="AX31" s="30"/>
    </row>
    <row r="32" spans="1:50" ht="11.25" customHeight="1">
      <c r="A32" s="1"/>
      <c r="B32" s="442"/>
      <c r="C32" s="445"/>
      <c r="D32" s="448"/>
      <c r="E32" s="451"/>
      <c r="F32" s="454"/>
      <c r="G32" s="454"/>
      <c r="H32" s="471"/>
      <c r="I32" s="473"/>
      <c r="J32" s="473"/>
      <c r="K32" s="471"/>
      <c r="L32" s="44"/>
      <c r="M32" s="44"/>
      <c r="N32" s="476"/>
      <c r="O32" s="46"/>
      <c r="P32" s="46"/>
      <c r="Q32" s="47"/>
      <c r="R32" s="47"/>
      <c r="S32" s="47"/>
      <c r="T32" s="48"/>
      <c r="U32" s="462"/>
      <c r="V32" s="462"/>
      <c r="W32" s="36"/>
      <c r="X32" s="49"/>
      <c r="Y32" s="50"/>
      <c r="Z32" s="50"/>
      <c r="AA32" s="50"/>
      <c r="AB32" s="51"/>
      <c r="AC32" s="52"/>
      <c r="AD32" s="465"/>
      <c r="AE32" s="53"/>
      <c r="AF32" s="54"/>
      <c r="AG32" s="55"/>
      <c r="AH32" s="468"/>
      <c r="AI32" s="468"/>
      <c r="AJ32" s="55"/>
      <c r="AK32" s="1"/>
      <c r="AL32" s="438"/>
      <c r="AM32" s="438"/>
      <c r="AN32" s="438"/>
      <c r="AO32" s="438"/>
      <c r="AP32" s="438"/>
      <c r="AQ32" s="438"/>
      <c r="AR32" s="438"/>
      <c r="AS32" s="438"/>
      <c r="AT32" s="29"/>
      <c r="AU32" s="30"/>
      <c r="AV32" s="30"/>
      <c r="AW32" s="30"/>
      <c r="AX32" s="30"/>
    </row>
    <row r="33" spans="1:50" ht="11.25" customHeight="1">
      <c r="A33" s="1"/>
      <c r="B33" s="442"/>
      <c r="C33" s="445"/>
      <c r="D33" s="448"/>
      <c r="E33" s="451"/>
      <c r="F33" s="454"/>
      <c r="G33" s="454"/>
      <c r="H33" s="471"/>
      <c r="I33" s="473"/>
      <c r="J33" s="473"/>
      <c r="K33" s="471"/>
      <c r="L33" s="44"/>
      <c r="M33" s="44"/>
      <c r="N33" s="476"/>
      <c r="O33" s="57">
        <f>O25+O29</f>
        <v>0</v>
      </c>
      <c r="P33" s="57">
        <f>SUM(P25:P29)</f>
        <v>0</v>
      </c>
      <c r="Q33" s="47"/>
      <c r="R33" s="47"/>
      <c r="S33" s="47"/>
      <c r="T33" s="48"/>
      <c r="U33" s="462"/>
      <c r="V33" s="462"/>
      <c r="W33" s="36"/>
      <c r="X33" s="49"/>
      <c r="Y33" s="49"/>
      <c r="Z33" s="49"/>
      <c r="AA33" s="49"/>
      <c r="AB33" s="51"/>
      <c r="AC33" s="52"/>
      <c r="AD33" s="465"/>
      <c r="AE33" s="53"/>
      <c r="AF33" s="59"/>
      <c r="AG33" s="60"/>
      <c r="AH33" s="468"/>
      <c r="AI33" s="468"/>
      <c r="AJ33" s="55"/>
      <c r="AK33" s="1"/>
      <c r="AL33" s="438"/>
      <c r="AM33" s="438"/>
      <c r="AN33" s="438"/>
      <c r="AO33" s="438"/>
      <c r="AP33" s="438"/>
      <c r="AQ33" s="438"/>
      <c r="AR33" s="438"/>
      <c r="AS33" s="438"/>
      <c r="AT33" s="29"/>
      <c r="AU33" s="30"/>
      <c r="AV33" s="30"/>
      <c r="AW33" s="30"/>
      <c r="AX33" s="30"/>
    </row>
    <row r="34" spans="1:50" ht="11.25" customHeight="1">
      <c r="A34" s="1"/>
      <c r="B34" s="443"/>
      <c r="C34" s="446"/>
      <c r="D34" s="449"/>
      <c r="E34" s="452"/>
      <c r="F34" s="455"/>
      <c r="G34" s="455"/>
      <c r="H34" s="472"/>
      <c r="I34" s="474"/>
      <c r="J34" s="474"/>
      <c r="K34" s="472"/>
      <c r="L34" s="61"/>
      <c r="M34" s="61"/>
      <c r="N34" s="477"/>
      <c r="O34" s="62"/>
      <c r="P34" s="62"/>
      <c r="Q34" s="63"/>
      <c r="R34" s="63"/>
      <c r="S34" s="63"/>
      <c r="T34" s="64"/>
      <c r="U34" s="463"/>
      <c r="V34" s="463"/>
      <c r="W34" s="65"/>
      <c r="X34" s="66"/>
      <c r="Y34" s="67"/>
      <c r="Z34" s="67"/>
      <c r="AA34" s="67"/>
      <c r="AB34" s="68"/>
      <c r="AC34" s="69"/>
      <c r="AD34" s="466"/>
      <c r="AE34" s="70"/>
      <c r="AF34" s="71"/>
      <c r="AG34" s="72"/>
      <c r="AH34" s="469"/>
      <c r="AI34" s="469"/>
      <c r="AJ34" s="72"/>
      <c r="AK34" s="1"/>
      <c r="AL34" s="439"/>
      <c r="AM34" s="439"/>
      <c r="AN34" s="439"/>
      <c r="AO34" s="439"/>
      <c r="AP34" s="439"/>
      <c r="AQ34" s="439"/>
      <c r="AR34" s="439"/>
      <c r="AS34" s="439"/>
      <c r="AT34" s="29"/>
      <c r="AU34" s="30"/>
      <c r="AV34" s="30"/>
      <c r="AW34" s="30"/>
      <c r="AX34" s="30"/>
    </row>
    <row r="35" spans="1:50" ht="11.25" customHeight="1">
      <c r="A35" s="1"/>
      <c r="B35" s="441">
        <f>IF(B25="","",IF(B25+1&gt;$AB$3,"",B25+1))</f>
        <v>44654</v>
      </c>
      <c r="C35" s="444">
        <f>IF(C25="","",IF(C25+1&gt;$AB$3,"",C25+1))</f>
        <v>44654</v>
      </c>
      <c r="D35" s="447">
        <f>IF(C35="","",WEEKDAY(C35,1))</f>
        <v>1</v>
      </c>
      <c r="E35" s="450" t="str">
        <f>IF($D35="","",IF(NOT(ISERROR(MATCH($C35,祝日テーブル,0)=TRUE)),IF($D35=1,"法定","法定外"),IF($D35=1,"法定",IF($D35=7,"法定外",""))))</f>
        <v>法定</v>
      </c>
      <c r="F35" s="453"/>
      <c r="G35" s="453"/>
      <c r="H35" s="470">
        <v>4.1666666666666664E-2</v>
      </c>
      <c r="I35" s="473"/>
      <c r="J35" s="473"/>
      <c r="K35" s="471"/>
      <c r="L35" s="32">
        <f>MOD(F35,100)+FLOOR(F35/100,1)*60</f>
        <v>0</v>
      </c>
      <c r="M35" s="32"/>
      <c r="N35" s="475"/>
      <c r="O35" s="33">
        <f>IF($I$3= "協力会社",M39,IF(L39&gt;=$L$12,$M$12,IF(L39&gt;0,M39,0)))</f>
        <v>0</v>
      </c>
      <c r="P35" s="33">
        <f>SUMIF(AB35:AB44,"1.00",AC35:AC44)+SUMIF(AB35:AB44,"振休取得",AC35:AC44)</f>
        <v>0</v>
      </c>
      <c r="Q35" s="34"/>
      <c r="R35" s="34"/>
      <c r="S35" s="34"/>
      <c r="T35" s="35"/>
      <c r="U35" s="462"/>
      <c r="V35" s="462"/>
      <c r="W35" s="36"/>
      <c r="X35" s="37"/>
      <c r="Y35" s="37"/>
      <c r="Z35" s="37"/>
      <c r="AA35" s="37"/>
      <c r="AB35" s="38"/>
      <c r="AC35" s="39"/>
      <c r="AD35" s="464"/>
      <c r="AE35" s="40"/>
      <c r="AF35" s="41"/>
      <c r="AG35" s="42"/>
      <c r="AH35" s="467"/>
      <c r="AI35" s="467"/>
      <c r="AJ35" s="73"/>
      <c r="AK35" s="1"/>
      <c r="AL35" s="437"/>
      <c r="AM35" s="437"/>
      <c r="AN35" s="437"/>
      <c r="AO35" s="437"/>
      <c r="AP35" s="437"/>
      <c r="AQ35" s="437"/>
      <c r="AR35" s="437"/>
      <c r="AS35" s="437"/>
      <c r="AT35" s="29"/>
      <c r="AU35" s="30"/>
      <c r="AV35" s="30"/>
      <c r="AW35" s="30"/>
      <c r="AX35" s="30"/>
    </row>
    <row r="36" spans="1:50" ht="11.25" customHeight="1">
      <c r="A36" s="1"/>
      <c r="B36" s="442"/>
      <c r="C36" s="445"/>
      <c r="D36" s="448"/>
      <c r="E36" s="451"/>
      <c r="F36" s="454"/>
      <c r="G36" s="454"/>
      <c r="H36" s="471"/>
      <c r="I36" s="473"/>
      <c r="J36" s="473"/>
      <c r="K36" s="471"/>
      <c r="L36" s="44">
        <f>MOD(G35,100)+FLOOR(G35/100,1)*60</f>
        <v>0</v>
      </c>
      <c r="M36" s="44"/>
      <c r="N36" s="476"/>
      <c r="O36" s="45"/>
      <c r="P36" s="46"/>
      <c r="Q36" s="47"/>
      <c r="R36" s="47"/>
      <c r="S36" s="47"/>
      <c r="T36" s="48"/>
      <c r="U36" s="462"/>
      <c r="V36" s="462"/>
      <c r="W36" s="36"/>
      <c r="X36" s="49"/>
      <c r="Y36" s="50"/>
      <c r="Z36" s="50"/>
      <c r="AA36" s="50"/>
      <c r="AB36" s="51"/>
      <c r="AC36" s="52"/>
      <c r="AD36" s="465"/>
      <c r="AE36" s="53"/>
      <c r="AF36" s="54"/>
      <c r="AG36" s="55"/>
      <c r="AH36" s="468"/>
      <c r="AI36" s="468"/>
      <c r="AJ36" s="54"/>
      <c r="AK36" s="1"/>
      <c r="AL36" s="438"/>
      <c r="AM36" s="438"/>
      <c r="AN36" s="438"/>
      <c r="AO36" s="438"/>
      <c r="AP36" s="438"/>
      <c r="AQ36" s="438"/>
      <c r="AR36" s="438"/>
      <c r="AS36" s="438"/>
      <c r="AT36" s="29"/>
      <c r="AU36" s="30"/>
      <c r="AV36" s="30"/>
      <c r="AW36" s="30"/>
      <c r="AX36" s="30"/>
    </row>
    <row r="37" spans="1:50" ht="11.25" customHeight="1">
      <c r="A37" s="1"/>
      <c r="B37" s="442"/>
      <c r="C37" s="445"/>
      <c r="D37" s="448"/>
      <c r="E37" s="451"/>
      <c r="F37" s="454"/>
      <c r="G37" s="454"/>
      <c r="H37" s="471"/>
      <c r="I37" s="473"/>
      <c r="J37" s="473"/>
      <c r="K37" s="471"/>
      <c r="L37" s="44">
        <f>L36-L35</f>
        <v>0</v>
      </c>
      <c r="M37" s="44"/>
      <c r="N37" s="476"/>
      <c r="O37" s="46"/>
      <c r="P37" s="45">
        <f>SUMIF(AB35:AB44,"有休",AC35:AC44)+SUMIF(AB35:AB44,"無給休",AC35:AC44)+SUMIF(AB35:AB44,"振休",AC35:AC44)+SUMIF(AB35:AB44,"特休",AC35:AC44)</f>
        <v>0</v>
      </c>
      <c r="Q37" s="47"/>
      <c r="R37" s="47"/>
      <c r="S37" s="47"/>
      <c r="T37" s="48"/>
      <c r="U37" s="462"/>
      <c r="V37" s="462"/>
      <c r="W37" s="36"/>
      <c r="X37" s="49"/>
      <c r="Y37" s="50"/>
      <c r="Z37" s="50"/>
      <c r="AA37" s="50"/>
      <c r="AB37" s="51"/>
      <c r="AC37" s="52"/>
      <c r="AD37" s="465"/>
      <c r="AE37" s="53"/>
      <c r="AF37" s="54"/>
      <c r="AG37" s="55"/>
      <c r="AH37" s="468"/>
      <c r="AI37" s="468"/>
      <c r="AJ37" s="54"/>
      <c r="AK37" s="1"/>
      <c r="AL37" s="438"/>
      <c r="AM37" s="438"/>
      <c r="AN37" s="438"/>
      <c r="AO37" s="438"/>
      <c r="AP37" s="438"/>
      <c r="AQ37" s="438"/>
      <c r="AR37" s="438"/>
      <c r="AS37" s="438"/>
      <c r="AT37" s="29"/>
      <c r="AU37" s="30"/>
      <c r="AV37" s="30"/>
      <c r="AW37" s="30"/>
      <c r="AX37" s="30"/>
    </row>
    <row r="38" spans="1:50" ht="11.25" customHeight="1">
      <c r="A38" s="1"/>
      <c r="B38" s="442"/>
      <c r="C38" s="445"/>
      <c r="D38" s="448"/>
      <c r="E38" s="451"/>
      <c r="F38" s="454"/>
      <c r="G38" s="454"/>
      <c r="H38" s="471"/>
      <c r="I38" s="473"/>
      <c r="J38" s="473"/>
      <c r="K38" s="471"/>
      <c r="L38" s="44">
        <f>ROUNDUP(L37/60,2)</f>
        <v>0</v>
      </c>
      <c r="M38" s="44"/>
      <c r="N38" s="476"/>
      <c r="O38" s="46"/>
      <c r="P38" s="46"/>
      <c r="Q38" s="47"/>
      <c r="R38" s="47"/>
      <c r="S38" s="47"/>
      <c r="T38" s="48"/>
      <c r="U38" s="462"/>
      <c r="V38" s="462"/>
      <c r="W38" s="36"/>
      <c r="X38" s="49"/>
      <c r="Y38" s="50"/>
      <c r="Z38" s="50"/>
      <c r="AA38" s="50"/>
      <c r="AB38" s="51"/>
      <c r="AC38" s="52"/>
      <c r="AD38" s="465"/>
      <c r="AE38" s="53"/>
      <c r="AF38" s="54"/>
      <c r="AG38" s="55"/>
      <c r="AH38" s="468"/>
      <c r="AI38" s="468"/>
      <c r="AJ38" s="55"/>
      <c r="AK38" s="1"/>
      <c r="AL38" s="438"/>
      <c r="AM38" s="438"/>
      <c r="AN38" s="438"/>
      <c r="AO38" s="438"/>
      <c r="AP38" s="438"/>
      <c r="AQ38" s="438"/>
      <c r="AR38" s="438"/>
      <c r="AS38" s="438"/>
      <c r="AT38" s="29"/>
      <c r="AU38" s="30"/>
      <c r="AV38" s="30"/>
      <c r="AW38" s="30"/>
      <c r="AX38" s="30"/>
    </row>
    <row r="39" spans="1:50" ht="11.25" customHeight="1">
      <c r="A39" s="1"/>
      <c r="B39" s="442"/>
      <c r="C39" s="445"/>
      <c r="D39" s="448"/>
      <c r="E39" s="451"/>
      <c r="F39" s="454"/>
      <c r="G39" s="454"/>
      <c r="H39" s="471"/>
      <c r="I39" s="473"/>
      <c r="J39" s="473"/>
      <c r="K39" s="471"/>
      <c r="L39" s="44">
        <f>IF(L38&gt;0,L38-HOUR(H35)-MINUTE(H35)/60,0)</f>
        <v>0</v>
      </c>
      <c r="M39" s="56">
        <f>TIME(L39-MOD(L39,1),MOD(L39,1)*60,0)</f>
        <v>0</v>
      </c>
      <c r="N39" s="476"/>
      <c r="O39" s="45">
        <f>M41</f>
        <v>0</v>
      </c>
      <c r="P39" s="45">
        <f>SUMIF(AB35:AB44,"1.25",AC35:AC44)+SUMIF(AB35:AB44,"他時間外",AC35:AC44)+SUMIF(AB35:AB44,"1.35",AC35:AC44)</f>
        <v>0</v>
      </c>
      <c r="Q39" s="47"/>
      <c r="R39" s="47"/>
      <c r="S39" s="47"/>
      <c r="T39" s="48"/>
      <c r="U39" s="462"/>
      <c r="V39" s="462"/>
      <c r="W39" s="36"/>
      <c r="X39" s="49"/>
      <c r="Y39" s="50"/>
      <c r="Z39" s="50"/>
      <c r="AA39" s="50"/>
      <c r="AB39" s="51"/>
      <c r="AC39" s="52"/>
      <c r="AD39" s="465"/>
      <c r="AE39" s="53"/>
      <c r="AF39" s="54"/>
      <c r="AG39" s="55"/>
      <c r="AH39" s="468"/>
      <c r="AI39" s="468"/>
      <c r="AJ39" s="55"/>
      <c r="AK39" s="1"/>
      <c r="AL39" s="438"/>
      <c r="AM39" s="438"/>
      <c r="AN39" s="438"/>
      <c r="AO39" s="438"/>
      <c r="AP39" s="438"/>
      <c r="AQ39" s="438"/>
      <c r="AR39" s="438"/>
      <c r="AS39" s="438"/>
      <c r="AT39" s="29"/>
      <c r="AU39" s="30"/>
      <c r="AV39" s="30"/>
      <c r="AW39" s="30"/>
      <c r="AX39" s="30"/>
    </row>
    <row r="40" spans="1:50" ht="11.25" customHeight="1">
      <c r="A40" s="1"/>
      <c r="B40" s="442"/>
      <c r="C40" s="445"/>
      <c r="D40" s="448"/>
      <c r="E40" s="451"/>
      <c r="F40" s="454"/>
      <c r="G40" s="454"/>
      <c r="H40" s="471"/>
      <c r="I40" s="473"/>
      <c r="J40" s="473"/>
      <c r="K40" s="471"/>
      <c r="L40" s="44">
        <f>L39-$L$12</f>
        <v>-7.75</v>
      </c>
      <c r="M40" s="44"/>
      <c r="N40" s="476"/>
      <c r="O40" s="46"/>
      <c r="P40" s="46"/>
      <c r="Q40" s="47"/>
      <c r="R40" s="47"/>
      <c r="S40" s="47"/>
      <c r="T40" s="48"/>
      <c r="U40" s="462"/>
      <c r="V40" s="462"/>
      <c r="W40" s="36"/>
      <c r="X40" s="49"/>
      <c r="Y40" s="50"/>
      <c r="Z40" s="50"/>
      <c r="AA40" s="50"/>
      <c r="AB40" s="51"/>
      <c r="AC40" s="52"/>
      <c r="AD40" s="465"/>
      <c r="AE40" s="53"/>
      <c r="AF40" s="54"/>
      <c r="AG40" s="55"/>
      <c r="AH40" s="468"/>
      <c r="AI40" s="468"/>
      <c r="AJ40" s="55"/>
      <c r="AK40" s="1"/>
      <c r="AL40" s="438"/>
      <c r="AM40" s="438"/>
      <c r="AN40" s="438"/>
      <c r="AO40" s="438"/>
      <c r="AP40" s="438"/>
      <c r="AQ40" s="438"/>
      <c r="AR40" s="438"/>
      <c r="AS40" s="438"/>
      <c r="AT40" s="29"/>
      <c r="AU40" s="30"/>
      <c r="AV40" s="30"/>
      <c r="AW40" s="30"/>
      <c r="AX40" s="30"/>
    </row>
    <row r="41" spans="1:50" ht="11.25" customHeight="1">
      <c r="A41" s="1"/>
      <c r="B41" s="442"/>
      <c r="C41" s="445"/>
      <c r="D41" s="448"/>
      <c r="E41" s="451"/>
      <c r="F41" s="454"/>
      <c r="G41" s="454"/>
      <c r="H41" s="471"/>
      <c r="I41" s="473"/>
      <c r="J41" s="473"/>
      <c r="K41" s="471"/>
      <c r="L41" s="44">
        <f>IF($I$3= "協力会社",0,IF(L40&gt;0,L40,0))</f>
        <v>0</v>
      </c>
      <c r="M41" s="56">
        <f>TIME(L41-MOD(L41,1),MOD(L41,1)*60,0)</f>
        <v>0</v>
      </c>
      <c r="N41" s="476"/>
      <c r="O41" s="46"/>
      <c r="P41" s="45">
        <f>SUMIF(AB35:AB44,"0.25深夜",AC35:AC44)</f>
        <v>0</v>
      </c>
      <c r="Q41" s="47"/>
      <c r="R41" s="47"/>
      <c r="S41" s="47"/>
      <c r="T41" s="48"/>
      <c r="U41" s="462"/>
      <c r="V41" s="462"/>
      <c r="W41" s="36"/>
      <c r="X41" s="49"/>
      <c r="Y41" s="50"/>
      <c r="Z41" s="50"/>
      <c r="AA41" s="50"/>
      <c r="AB41" s="51"/>
      <c r="AC41" s="52"/>
      <c r="AD41" s="465"/>
      <c r="AE41" s="53"/>
      <c r="AF41" s="54"/>
      <c r="AG41" s="55"/>
      <c r="AH41" s="468"/>
      <c r="AI41" s="468"/>
      <c r="AJ41" s="55"/>
      <c r="AK41" s="1"/>
      <c r="AL41" s="438"/>
      <c r="AM41" s="438"/>
      <c r="AN41" s="438"/>
      <c r="AO41" s="438"/>
      <c r="AP41" s="438"/>
      <c r="AQ41" s="438"/>
      <c r="AR41" s="438"/>
      <c r="AS41" s="438"/>
      <c r="AT41" s="29"/>
      <c r="AU41" s="30"/>
      <c r="AV41" s="30"/>
      <c r="AW41" s="30"/>
      <c r="AX41" s="30"/>
    </row>
    <row r="42" spans="1:50" ht="11.25" customHeight="1">
      <c r="A42" s="1"/>
      <c r="B42" s="442"/>
      <c r="C42" s="445"/>
      <c r="D42" s="448"/>
      <c r="E42" s="451"/>
      <c r="F42" s="454"/>
      <c r="G42" s="454"/>
      <c r="H42" s="471"/>
      <c r="I42" s="473"/>
      <c r="J42" s="473"/>
      <c r="K42" s="471"/>
      <c r="L42" s="44"/>
      <c r="M42" s="44"/>
      <c r="N42" s="476"/>
      <c r="O42" s="46"/>
      <c r="P42" s="46"/>
      <c r="Q42" s="47"/>
      <c r="R42" s="47"/>
      <c r="S42" s="47"/>
      <c r="T42" s="48"/>
      <c r="U42" s="462"/>
      <c r="V42" s="462"/>
      <c r="W42" s="36"/>
      <c r="X42" s="49"/>
      <c r="Y42" s="50"/>
      <c r="Z42" s="50"/>
      <c r="AA42" s="50"/>
      <c r="AB42" s="51"/>
      <c r="AC42" s="52"/>
      <c r="AD42" s="465"/>
      <c r="AE42" s="53"/>
      <c r="AF42" s="54"/>
      <c r="AG42" s="55"/>
      <c r="AH42" s="468"/>
      <c r="AI42" s="468"/>
      <c r="AJ42" s="55"/>
      <c r="AK42" s="1"/>
      <c r="AL42" s="438"/>
      <c r="AM42" s="438"/>
      <c r="AN42" s="438"/>
      <c r="AO42" s="438"/>
      <c r="AP42" s="438"/>
      <c r="AQ42" s="438"/>
      <c r="AR42" s="438"/>
      <c r="AS42" s="438"/>
      <c r="AT42" s="29"/>
      <c r="AU42" s="30"/>
      <c r="AV42" s="30"/>
      <c r="AW42" s="30"/>
      <c r="AX42" s="30"/>
    </row>
    <row r="43" spans="1:50" ht="11.25" customHeight="1">
      <c r="A43" s="1"/>
      <c r="B43" s="442"/>
      <c r="C43" s="445"/>
      <c r="D43" s="448"/>
      <c r="E43" s="451"/>
      <c r="F43" s="454"/>
      <c r="G43" s="454"/>
      <c r="H43" s="471"/>
      <c r="I43" s="473"/>
      <c r="J43" s="473"/>
      <c r="K43" s="471"/>
      <c r="L43" s="44"/>
      <c r="M43" s="44"/>
      <c r="N43" s="476"/>
      <c r="O43" s="57">
        <f>O35+O39</f>
        <v>0</v>
      </c>
      <c r="P43" s="57">
        <f>SUM(P35:P39)</f>
        <v>0</v>
      </c>
      <c r="Q43" s="47"/>
      <c r="R43" s="47"/>
      <c r="S43" s="47"/>
      <c r="T43" s="48"/>
      <c r="U43" s="462"/>
      <c r="V43" s="462"/>
      <c r="W43" s="36"/>
      <c r="X43" s="49"/>
      <c r="Y43" s="49"/>
      <c r="Z43" s="49"/>
      <c r="AA43" s="49"/>
      <c r="AB43" s="51"/>
      <c r="AC43" s="52"/>
      <c r="AD43" s="465"/>
      <c r="AE43" s="53"/>
      <c r="AF43" s="59"/>
      <c r="AG43" s="60"/>
      <c r="AH43" s="468"/>
      <c r="AI43" s="468"/>
      <c r="AJ43" s="55"/>
      <c r="AK43" s="1"/>
      <c r="AL43" s="438"/>
      <c r="AM43" s="438"/>
      <c r="AN43" s="438"/>
      <c r="AO43" s="438"/>
      <c r="AP43" s="438"/>
      <c r="AQ43" s="438"/>
      <c r="AR43" s="438"/>
      <c r="AS43" s="438"/>
      <c r="AT43" s="29"/>
      <c r="AU43" s="30"/>
      <c r="AV43" s="30"/>
      <c r="AW43" s="30"/>
      <c r="AX43" s="30"/>
    </row>
    <row r="44" spans="1:50" ht="11.25" customHeight="1">
      <c r="A44" s="1"/>
      <c r="B44" s="443"/>
      <c r="C44" s="446"/>
      <c r="D44" s="449"/>
      <c r="E44" s="452"/>
      <c r="F44" s="455"/>
      <c r="G44" s="455"/>
      <c r="H44" s="472"/>
      <c r="I44" s="474"/>
      <c r="J44" s="474"/>
      <c r="K44" s="472"/>
      <c r="L44" s="61"/>
      <c r="M44" s="61"/>
      <c r="N44" s="477"/>
      <c r="O44" s="62"/>
      <c r="P44" s="62"/>
      <c r="Q44" s="63"/>
      <c r="R44" s="63"/>
      <c r="S44" s="63"/>
      <c r="T44" s="64"/>
      <c r="U44" s="463"/>
      <c r="V44" s="463"/>
      <c r="W44" s="65"/>
      <c r="X44" s="66"/>
      <c r="Y44" s="67"/>
      <c r="Z44" s="67"/>
      <c r="AA44" s="67"/>
      <c r="AB44" s="68"/>
      <c r="AC44" s="69"/>
      <c r="AD44" s="466"/>
      <c r="AE44" s="70"/>
      <c r="AF44" s="71"/>
      <c r="AG44" s="72"/>
      <c r="AH44" s="469"/>
      <c r="AI44" s="469"/>
      <c r="AJ44" s="72"/>
      <c r="AK44" s="1"/>
      <c r="AL44" s="439"/>
      <c r="AM44" s="439"/>
      <c r="AN44" s="439"/>
      <c r="AO44" s="439"/>
      <c r="AP44" s="439"/>
      <c r="AQ44" s="439"/>
      <c r="AR44" s="439"/>
      <c r="AS44" s="439"/>
      <c r="AT44" s="29"/>
      <c r="AU44" s="30"/>
      <c r="AV44" s="30"/>
      <c r="AW44" s="30"/>
      <c r="AX44" s="30"/>
    </row>
    <row r="45" spans="1:50">
      <c r="A45" s="1"/>
      <c r="B45" s="441">
        <f>IF(B35="","",IF(B35+1&gt;$AB$3,"",B35+1))</f>
        <v>44655</v>
      </c>
      <c r="C45" s="444">
        <f>IF(C35="","",IF(C35+1&gt;$AB$3,"",C35+1))</f>
        <v>44655</v>
      </c>
      <c r="D45" s="447">
        <f>IF(C45="","",WEEKDAY(C45,1))</f>
        <v>2</v>
      </c>
      <c r="E45" s="450" t="str">
        <f>IF($D45="","",IF(NOT(ISERROR(MATCH($C45,祝日テーブル,0)=TRUE)),IF($D45=1,"法定","法定外"),IF($D45=1,"法定",IF($D45=7,"法定外",""))))</f>
        <v/>
      </c>
      <c r="F45" s="453">
        <v>900</v>
      </c>
      <c r="G45" s="453">
        <v>1745</v>
      </c>
      <c r="H45" s="470">
        <v>4.1666666666666664E-2</v>
      </c>
      <c r="I45" s="473"/>
      <c r="J45" s="473"/>
      <c r="K45" s="471"/>
      <c r="L45" s="32">
        <f t="shared" ref="L45" si="0">MOD(F45,100)+FLOOR(F45/100,1)*60</f>
        <v>540</v>
      </c>
      <c r="M45" s="32"/>
      <c r="N45" s="475"/>
      <c r="O45" s="33">
        <f t="shared" ref="O45" si="1">IF($I$3= "協力会社",M49,IF(L49&gt;=$L$12,$M$12,IF(L49&gt;0,M49,0)))</f>
        <v>0.32291666666666669</v>
      </c>
      <c r="P45" s="33">
        <f t="shared" ref="P45" si="2">SUMIF(AB45:AB54,"1.00",AC45:AC54)+SUMIF(AB45:AB54,"振休取得",AC45:AC54)</f>
        <v>0.32291666666666669</v>
      </c>
      <c r="Q45" s="34"/>
      <c r="R45" s="34"/>
      <c r="S45" s="34"/>
      <c r="T45" s="35"/>
      <c r="U45" s="462"/>
      <c r="V45" s="462"/>
      <c r="W45" s="36" t="s">
        <v>649</v>
      </c>
      <c r="X45" s="37" t="s">
        <v>608</v>
      </c>
      <c r="Y45" s="37"/>
      <c r="Z45" s="37" t="s">
        <v>650</v>
      </c>
      <c r="AA45" s="37"/>
      <c r="AB45" s="38" t="s">
        <v>121</v>
      </c>
      <c r="AC45" s="39">
        <v>0.32291666666666669</v>
      </c>
      <c r="AD45" s="464"/>
      <c r="AE45" s="40"/>
      <c r="AF45" s="41"/>
      <c r="AG45" s="42"/>
      <c r="AH45" s="467" t="s">
        <v>652</v>
      </c>
      <c r="AI45" s="467" t="s">
        <v>653</v>
      </c>
      <c r="AJ45" s="73"/>
      <c r="AK45" s="1"/>
      <c r="AL45" s="437"/>
      <c r="AM45" s="437"/>
      <c r="AN45" s="437"/>
      <c r="AO45" s="437"/>
      <c r="AP45" s="437"/>
      <c r="AQ45" s="437"/>
      <c r="AR45" s="437"/>
      <c r="AS45" s="437"/>
      <c r="AT45" s="29"/>
      <c r="AU45" s="30"/>
      <c r="AV45" s="30"/>
      <c r="AW45" s="30"/>
      <c r="AX45" s="30"/>
    </row>
    <row r="46" spans="1:50" ht="11.25" customHeight="1">
      <c r="A46" s="1"/>
      <c r="B46" s="442"/>
      <c r="C46" s="445"/>
      <c r="D46" s="448"/>
      <c r="E46" s="451"/>
      <c r="F46" s="454"/>
      <c r="G46" s="454"/>
      <c r="H46" s="471"/>
      <c r="I46" s="473"/>
      <c r="J46" s="473"/>
      <c r="K46" s="471"/>
      <c r="L46" s="44">
        <f t="shared" ref="L46" si="3">MOD(G45,100)+FLOOR(G45/100,1)*60</f>
        <v>1065</v>
      </c>
      <c r="M46" s="44"/>
      <c r="N46" s="476"/>
      <c r="O46" s="45"/>
      <c r="P46" s="46"/>
      <c r="Q46" s="47"/>
      <c r="R46" s="47"/>
      <c r="S46" s="47"/>
      <c r="T46" s="48"/>
      <c r="U46" s="462"/>
      <c r="V46" s="462"/>
      <c r="W46" s="36"/>
      <c r="X46" s="49"/>
      <c r="Y46" s="50"/>
      <c r="Z46" s="50"/>
      <c r="AA46" s="50"/>
      <c r="AB46" s="51"/>
      <c r="AC46" s="52"/>
      <c r="AD46" s="465"/>
      <c r="AE46" s="53"/>
      <c r="AF46" s="54"/>
      <c r="AG46" s="55"/>
      <c r="AH46" s="468"/>
      <c r="AI46" s="468"/>
      <c r="AJ46" s="55"/>
      <c r="AK46" s="1"/>
      <c r="AL46" s="438"/>
      <c r="AM46" s="438"/>
      <c r="AN46" s="438"/>
      <c r="AO46" s="438"/>
      <c r="AP46" s="438"/>
      <c r="AQ46" s="438"/>
      <c r="AR46" s="438"/>
      <c r="AS46" s="438"/>
      <c r="AT46" s="29"/>
      <c r="AU46" s="30"/>
      <c r="AV46" s="30"/>
      <c r="AW46" s="30"/>
      <c r="AX46" s="30"/>
    </row>
    <row r="47" spans="1:50" ht="11.25" customHeight="1">
      <c r="A47" s="1"/>
      <c r="B47" s="442"/>
      <c r="C47" s="445"/>
      <c r="D47" s="448"/>
      <c r="E47" s="451"/>
      <c r="F47" s="454"/>
      <c r="G47" s="454"/>
      <c r="H47" s="471"/>
      <c r="I47" s="473"/>
      <c r="J47" s="473"/>
      <c r="K47" s="471"/>
      <c r="L47" s="44">
        <f t="shared" ref="L47" si="4">L46-L45</f>
        <v>525</v>
      </c>
      <c r="M47" s="44"/>
      <c r="N47" s="476"/>
      <c r="O47" s="46"/>
      <c r="P47" s="45">
        <f t="shared" ref="P47" si="5">SUMIF(AB45:AB54,"有休",AC45:AC54)+SUMIF(AB45:AB54,"無給休",AC45:AC54)+SUMIF(AB45:AB54,"振休",AC45:AC54)+SUMIF(AB45:AB54,"特休",AC45:AC54)</f>
        <v>0</v>
      </c>
      <c r="Q47" s="47"/>
      <c r="R47" s="47"/>
      <c r="S47" s="47"/>
      <c r="T47" s="48"/>
      <c r="U47" s="462"/>
      <c r="V47" s="462"/>
      <c r="W47" s="36"/>
      <c r="X47" s="49"/>
      <c r="Y47" s="50"/>
      <c r="Z47" s="50"/>
      <c r="AA47" s="50"/>
      <c r="AB47" s="51"/>
      <c r="AC47" s="52"/>
      <c r="AD47" s="465"/>
      <c r="AE47" s="53"/>
      <c r="AF47" s="54"/>
      <c r="AG47" s="55"/>
      <c r="AH47" s="468"/>
      <c r="AI47" s="468"/>
      <c r="AJ47" s="54"/>
      <c r="AK47" s="1"/>
      <c r="AL47" s="438"/>
      <c r="AM47" s="438"/>
      <c r="AN47" s="438"/>
      <c r="AO47" s="438"/>
      <c r="AP47" s="438"/>
      <c r="AQ47" s="438"/>
      <c r="AR47" s="438"/>
      <c r="AS47" s="438"/>
      <c r="AT47" s="29"/>
      <c r="AU47" s="30"/>
      <c r="AV47" s="30"/>
      <c r="AW47" s="30"/>
      <c r="AX47" s="30"/>
    </row>
    <row r="48" spans="1:50" ht="11.25" customHeight="1">
      <c r="A48" s="1"/>
      <c r="B48" s="442"/>
      <c r="C48" s="445"/>
      <c r="D48" s="448"/>
      <c r="E48" s="451"/>
      <c r="F48" s="454"/>
      <c r="G48" s="454"/>
      <c r="H48" s="471"/>
      <c r="I48" s="473"/>
      <c r="J48" s="473"/>
      <c r="K48" s="471"/>
      <c r="L48" s="44">
        <f t="shared" ref="L48" si="6">ROUNDUP(L47/60,2)</f>
        <v>8.75</v>
      </c>
      <c r="M48" s="44"/>
      <c r="N48" s="476"/>
      <c r="O48" s="46"/>
      <c r="P48" s="46"/>
      <c r="Q48" s="47"/>
      <c r="R48" s="47"/>
      <c r="S48" s="47"/>
      <c r="T48" s="48"/>
      <c r="U48" s="462"/>
      <c r="V48" s="462"/>
      <c r="W48" s="36"/>
      <c r="X48" s="49"/>
      <c r="Y48" s="50"/>
      <c r="Z48" s="50"/>
      <c r="AA48" s="50"/>
      <c r="AB48" s="51"/>
      <c r="AC48" s="52"/>
      <c r="AD48" s="465"/>
      <c r="AE48" s="53"/>
      <c r="AF48" s="54"/>
      <c r="AG48" s="55"/>
      <c r="AH48" s="468"/>
      <c r="AI48" s="468"/>
      <c r="AJ48" s="55"/>
      <c r="AK48" s="1"/>
      <c r="AL48" s="438"/>
      <c r="AM48" s="438"/>
      <c r="AN48" s="438"/>
      <c r="AO48" s="438"/>
      <c r="AP48" s="438"/>
      <c r="AQ48" s="438"/>
      <c r="AR48" s="438"/>
      <c r="AS48" s="438"/>
      <c r="AT48" s="29"/>
      <c r="AU48" s="30"/>
      <c r="AV48" s="30"/>
      <c r="AW48" s="30"/>
      <c r="AX48" s="30"/>
    </row>
    <row r="49" spans="1:50" ht="11.25" customHeight="1">
      <c r="A49" s="1"/>
      <c r="B49" s="442"/>
      <c r="C49" s="445"/>
      <c r="D49" s="448"/>
      <c r="E49" s="451"/>
      <c r="F49" s="454"/>
      <c r="G49" s="454"/>
      <c r="H49" s="471"/>
      <c r="I49" s="473"/>
      <c r="J49" s="473"/>
      <c r="K49" s="471"/>
      <c r="L49" s="44">
        <f t="shared" ref="L49" si="7">IF(L48&gt;0,L48-HOUR(H45)-MINUTE(H45)/60,0)</f>
        <v>7.75</v>
      </c>
      <c r="M49" s="56">
        <f t="shared" ref="M49" si="8">TIME(L49-MOD(L49,1),MOD(L49,1)*60,0)</f>
        <v>0.32291666666666669</v>
      </c>
      <c r="N49" s="476"/>
      <c r="O49" s="45">
        <f t="shared" ref="O49" si="9">M51</f>
        <v>0</v>
      </c>
      <c r="P49" s="45">
        <f t="shared" ref="P49" si="10">SUMIF(AB45:AB54,"1.25",AC45:AC54)+SUMIF(AB45:AB54,"他時間外",AC45:AC54)+SUMIF(AB45:AB54,"1.35",AC45:AC54)</f>
        <v>0</v>
      </c>
      <c r="Q49" s="47"/>
      <c r="R49" s="47"/>
      <c r="S49" s="47"/>
      <c r="T49" s="48"/>
      <c r="U49" s="462"/>
      <c r="V49" s="462"/>
      <c r="W49" s="36"/>
      <c r="X49" s="49"/>
      <c r="Y49" s="50"/>
      <c r="Z49" s="50"/>
      <c r="AA49" s="50"/>
      <c r="AB49" s="51"/>
      <c r="AC49" s="52"/>
      <c r="AD49" s="465"/>
      <c r="AE49" s="53"/>
      <c r="AF49" s="54"/>
      <c r="AG49" s="55"/>
      <c r="AH49" s="468"/>
      <c r="AI49" s="468"/>
      <c r="AJ49" s="55"/>
      <c r="AK49" s="1"/>
      <c r="AL49" s="438"/>
      <c r="AM49" s="438"/>
      <c r="AN49" s="438"/>
      <c r="AO49" s="438"/>
      <c r="AP49" s="438"/>
      <c r="AQ49" s="438"/>
      <c r="AR49" s="438"/>
      <c r="AS49" s="438"/>
      <c r="AT49" s="29"/>
      <c r="AU49" s="30"/>
      <c r="AV49" s="30"/>
      <c r="AW49" s="30"/>
      <c r="AX49" s="30"/>
    </row>
    <row r="50" spans="1:50" ht="11.25" customHeight="1">
      <c r="A50" s="1"/>
      <c r="B50" s="442"/>
      <c r="C50" s="445"/>
      <c r="D50" s="448"/>
      <c r="E50" s="451"/>
      <c r="F50" s="454"/>
      <c r="G50" s="454"/>
      <c r="H50" s="471"/>
      <c r="I50" s="473"/>
      <c r="J50" s="473"/>
      <c r="K50" s="471"/>
      <c r="L50" s="44">
        <f t="shared" ref="L50" si="11">L49-$L$12</f>
        <v>0</v>
      </c>
      <c r="M50" s="44"/>
      <c r="N50" s="476"/>
      <c r="O50" s="46"/>
      <c r="P50" s="46"/>
      <c r="Q50" s="47"/>
      <c r="R50" s="47"/>
      <c r="S50" s="47"/>
      <c r="T50" s="48"/>
      <c r="U50" s="462"/>
      <c r="V50" s="462"/>
      <c r="W50" s="36"/>
      <c r="X50" s="49"/>
      <c r="Y50" s="50"/>
      <c r="Z50" s="50"/>
      <c r="AA50" s="50"/>
      <c r="AB50" s="51"/>
      <c r="AC50" s="52"/>
      <c r="AD50" s="465"/>
      <c r="AE50" s="53"/>
      <c r="AF50" s="54"/>
      <c r="AG50" s="55"/>
      <c r="AH50" s="468"/>
      <c r="AI50" s="468"/>
      <c r="AJ50" s="55"/>
      <c r="AK50" s="1"/>
      <c r="AL50" s="438"/>
      <c r="AM50" s="438"/>
      <c r="AN50" s="438"/>
      <c r="AO50" s="438"/>
      <c r="AP50" s="438"/>
      <c r="AQ50" s="438"/>
      <c r="AR50" s="438"/>
      <c r="AS50" s="438"/>
      <c r="AT50" s="29"/>
      <c r="AU50" s="30"/>
      <c r="AV50" s="30"/>
      <c r="AW50" s="30"/>
      <c r="AX50" s="30"/>
    </row>
    <row r="51" spans="1:50" ht="11.25" customHeight="1">
      <c r="A51" s="1"/>
      <c r="B51" s="442"/>
      <c r="C51" s="445"/>
      <c r="D51" s="448"/>
      <c r="E51" s="451"/>
      <c r="F51" s="454"/>
      <c r="G51" s="454"/>
      <c r="H51" s="471"/>
      <c r="I51" s="473"/>
      <c r="J51" s="473"/>
      <c r="K51" s="471"/>
      <c r="L51" s="44">
        <f t="shared" ref="L51" si="12">IF($I$3= "協力会社",0,IF(L50&gt;0,L50,0))</f>
        <v>0</v>
      </c>
      <c r="M51" s="56">
        <f t="shared" ref="M51" si="13">TIME(L51-MOD(L51,1),MOD(L51,1)*60,0)</f>
        <v>0</v>
      </c>
      <c r="N51" s="476"/>
      <c r="O51" s="46"/>
      <c r="P51" s="45">
        <f t="shared" ref="P51" si="14">SUMIF(AB45:AB54,"0.25深夜",AC45:AC54)</f>
        <v>0</v>
      </c>
      <c r="Q51" s="47"/>
      <c r="R51" s="47"/>
      <c r="S51" s="47"/>
      <c r="T51" s="48"/>
      <c r="U51" s="462"/>
      <c r="V51" s="462"/>
      <c r="W51" s="36"/>
      <c r="X51" s="49"/>
      <c r="Y51" s="50"/>
      <c r="Z51" s="50"/>
      <c r="AA51" s="50"/>
      <c r="AB51" s="51"/>
      <c r="AC51" s="52"/>
      <c r="AD51" s="465"/>
      <c r="AE51" s="53"/>
      <c r="AF51" s="54"/>
      <c r="AG51" s="55"/>
      <c r="AH51" s="468"/>
      <c r="AI51" s="468"/>
      <c r="AJ51" s="55"/>
      <c r="AK51" s="1"/>
      <c r="AL51" s="438"/>
      <c r="AM51" s="438"/>
      <c r="AN51" s="438"/>
      <c r="AO51" s="438"/>
      <c r="AP51" s="438"/>
      <c r="AQ51" s="438"/>
      <c r="AR51" s="438"/>
      <c r="AS51" s="438"/>
      <c r="AT51" s="29"/>
      <c r="AU51" s="30"/>
      <c r="AV51" s="30"/>
      <c r="AW51" s="30"/>
      <c r="AX51" s="30"/>
    </row>
    <row r="52" spans="1:50" ht="11.25" customHeight="1">
      <c r="A52" s="1"/>
      <c r="B52" s="442"/>
      <c r="C52" s="445"/>
      <c r="D52" s="448"/>
      <c r="E52" s="451"/>
      <c r="F52" s="454"/>
      <c r="G52" s="454"/>
      <c r="H52" s="471"/>
      <c r="I52" s="473"/>
      <c r="J52" s="473"/>
      <c r="K52" s="471"/>
      <c r="L52" s="44"/>
      <c r="M52" s="44"/>
      <c r="N52" s="476"/>
      <c r="O52" s="46"/>
      <c r="P52" s="46"/>
      <c r="Q52" s="47"/>
      <c r="R52" s="47"/>
      <c r="S52" s="47"/>
      <c r="T52" s="48"/>
      <c r="U52" s="462"/>
      <c r="V52" s="462"/>
      <c r="W52" s="36"/>
      <c r="X52" s="49"/>
      <c r="Y52" s="50"/>
      <c r="Z52" s="50"/>
      <c r="AA52" s="50"/>
      <c r="AB52" s="51"/>
      <c r="AC52" s="52"/>
      <c r="AD52" s="465"/>
      <c r="AE52" s="53"/>
      <c r="AF52" s="54"/>
      <c r="AG52" s="55"/>
      <c r="AH52" s="468"/>
      <c r="AI52" s="468"/>
      <c r="AJ52" s="55"/>
      <c r="AK52" s="1"/>
      <c r="AL52" s="438"/>
      <c r="AM52" s="438"/>
      <c r="AN52" s="438"/>
      <c r="AO52" s="438"/>
      <c r="AP52" s="438"/>
      <c r="AQ52" s="438"/>
      <c r="AR52" s="438"/>
      <c r="AS52" s="438"/>
      <c r="AT52" s="29"/>
      <c r="AU52" s="30"/>
      <c r="AV52" s="30"/>
      <c r="AW52" s="30"/>
      <c r="AX52" s="30"/>
    </row>
    <row r="53" spans="1:50" ht="11.25" customHeight="1">
      <c r="A53" s="1"/>
      <c r="B53" s="442"/>
      <c r="C53" s="445"/>
      <c r="D53" s="448"/>
      <c r="E53" s="451"/>
      <c r="F53" s="454"/>
      <c r="G53" s="454"/>
      <c r="H53" s="471"/>
      <c r="I53" s="473"/>
      <c r="J53" s="473"/>
      <c r="K53" s="471"/>
      <c r="L53" s="44"/>
      <c r="M53" s="44"/>
      <c r="N53" s="478"/>
      <c r="O53" s="57">
        <f t="shared" ref="O53" si="15">O45+O49</f>
        <v>0.32291666666666669</v>
      </c>
      <c r="P53" s="57">
        <f t="shared" ref="P53" si="16">SUM(P45:P49)</f>
        <v>0.32291666666666669</v>
      </c>
      <c r="Q53" s="47"/>
      <c r="R53" s="47"/>
      <c r="S53" s="47"/>
      <c r="T53" s="48"/>
      <c r="U53" s="462"/>
      <c r="V53" s="462"/>
      <c r="W53" s="36"/>
      <c r="X53" s="49"/>
      <c r="Y53" s="49"/>
      <c r="Z53" s="49"/>
      <c r="AA53" s="49"/>
      <c r="AB53" s="51"/>
      <c r="AC53" s="52"/>
      <c r="AD53" s="465"/>
      <c r="AE53" s="53"/>
      <c r="AF53" s="59"/>
      <c r="AG53" s="60"/>
      <c r="AH53" s="468"/>
      <c r="AI53" s="468"/>
      <c r="AJ53" s="55"/>
      <c r="AK53" s="1"/>
      <c r="AL53" s="438"/>
      <c r="AM53" s="438"/>
      <c r="AN53" s="438"/>
      <c r="AO53" s="438"/>
      <c r="AP53" s="438"/>
      <c r="AQ53" s="438"/>
      <c r="AR53" s="438"/>
      <c r="AS53" s="438"/>
      <c r="AT53" s="29"/>
      <c r="AU53" s="30"/>
      <c r="AV53" s="30"/>
      <c r="AW53" s="30"/>
      <c r="AX53" s="30"/>
    </row>
    <row r="54" spans="1:50" ht="11.25" customHeight="1">
      <c r="A54" s="1"/>
      <c r="B54" s="443"/>
      <c r="C54" s="446"/>
      <c r="D54" s="449"/>
      <c r="E54" s="452"/>
      <c r="F54" s="455"/>
      <c r="G54" s="455"/>
      <c r="H54" s="472"/>
      <c r="I54" s="474"/>
      <c r="J54" s="474"/>
      <c r="K54" s="472"/>
      <c r="L54" s="61"/>
      <c r="M54" s="61"/>
      <c r="N54" s="477"/>
      <c r="O54" s="62"/>
      <c r="P54" s="62"/>
      <c r="Q54" s="63"/>
      <c r="R54" s="63"/>
      <c r="S54" s="63"/>
      <c r="T54" s="64"/>
      <c r="U54" s="463"/>
      <c r="V54" s="463"/>
      <c r="W54" s="65"/>
      <c r="X54" s="66"/>
      <c r="Y54" s="67"/>
      <c r="Z54" s="67"/>
      <c r="AA54" s="67"/>
      <c r="AB54" s="68"/>
      <c r="AC54" s="69"/>
      <c r="AD54" s="466"/>
      <c r="AE54" s="70"/>
      <c r="AF54" s="71"/>
      <c r="AG54" s="72"/>
      <c r="AH54" s="469"/>
      <c r="AI54" s="469"/>
      <c r="AJ54" s="72"/>
      <c r="AK54" s="1"/>
      <c r="AL54" s="439"/>
      <c r="AM54" s="439"/>
      <c r="AN54" s="439"/>
      <c r="AO54" s="439"/>
      <c r="AP54" s="439"/>
      <c r="AQ54" s="439"/>
      <c r="AR54" s="439"/>
      <c r="AS54" s="439"/>
      <c r="AT54" s="29"/>
      <c r="AU54" s="30"/>
      <c r="AV54" s="30"/>
      <c r="AW54" s="30"/>
      <c r="AX54" s="30"/>
    </row>
    <row r="55" spans="1:50">
      <c r="A55" s="1"/>
      <c r="B55" s="441">
        <f>IF(B45="","",IF(B45+1&gt;$AB$3,"",B45+1))</f>
        <v>44656</v>
      </c>
      <c r="C55" s="444">
        <f>IF(C45="","",IF(C45+1&gt;$AB$3,"",C45+1))</f>
        <v>44656</v>
      </c>
      <c r="D55" s="447">
        <f>IF(C55="","",WEEKDAY(C55,1))</f>
        <v>3</v>
      </c>
      <c r="E55" s="450" t="str">
        <f>IF($D55="","",IF(NOT(ISERROR(MATCH($C55,祝日テーブル,0)=TRUE)),IF($D55=1,"法定","法定外"),IF($D55=1,"法定",IF($D55=7,"法定外",""))))</f>
        <v/>
      </c>
      <c r="F55" s="453">
        <v>800</v>
      </c>
      <c r="G55" s="453">
        <v>1700</v>
      </c>
      <c r="H55" s="470">
        <v>4.1666666666666664E-2</v>
      </c>
      <c r="I55" s="473"/>
      <c r="J55" s="473"/>
      <c r="K55" s="471"/>
      <c r="L55" s="32">
        <f t="shared" ref="L55" si="17">MOD(F55,100)+FLOOR(F55/100,1)*60</f>
        <v>480</v>
      </c>
      <c r="M55" s="32"/>
      <c r="N55" s="475"/>
      <c r="O55" s="33">
        <f t="shared" ref="O55" si="18">IF($I$3= "協力会社",M59,IF(L59&gt;=$L$12,$M$12,IF(L59&gt;0,M59,0)))</f>
        <v>0.33333333333333331</v>
      </c>
      <c r="P55" s="33">
        <f t="shared" ref="P55" si="19">SUMIF(AB55:AB64,"1.00",AC55:AC64)+SUMIF(AB55:AB64,"振休取得",AC55:AC64)</f>
        <v>0.33333333333333331</v>
      </c>
      <c r="Q55" s="34"/>
      <c r="R55" s="34"/>
      <c r="S55" s="34"/>
      <c r="T55" s="35"/>
      <c r="U55" s="462"/>
      <c r="V55" s="462"/>
      <c r="W55" s="36" t="s">
        <v>649</v>
      </c>
      <c r="X55" s="37" t="s">
        <v>608</v>
      </c>
      <c r="Y55" s="37"/>
      <c r="Z55" s="37" t="s">
        <v>650</v>
      </c>
      <c r="AA55" s="37"/>
      <c r="AB55" s="38" t="s">
        <v>121</v>
      </c>
      <c r="AC55" s="39">
        <v>0.33333333333333331</v>
      </c>
      <c r="AD55" s="464"/>
      <c r="AE55" s="40"/>
      <c r="AF55" s="41"/>
      <c r="AG55" s="42"/>
      <c r="AH55" s="467" t="s">
        <v>652</v>
      </c>
      <c r="AI55" s="467" t="s">
        <v>653</v>
      </c>
      <c r="AJ55" s="43"/>
      <c r="AK55" s="1"/>
      <c r="AL55" s="437"/>
      <c r="AM55" s="437"/>
      <c r="AN55" s="437"/>
      <c r="AO55" s="437"/>
      <c r="AP55" s="437"/>
      <c r="AQ55" s="437"/>
      <c r="AR55" s="437"/>
      <c r="AS55" s="437"/>
      <c r="AT55" s="29"/>
      <c r="AU55" s="30"/>
      <c r="AV55" s="30"/>
      <c r="AW55" s="30"/>
      <c r="AX55" s="30"/>
    </row>
    <row r="56" spans="1:50" ht="11.25" customHeight="1">
      <c r="A56" s="1"/>
      <c r="B56" s="442"/>
      <c r="C56" s="445"/>
      <c r="D56" s="448"/>
      <c r="E56" s="451"/>
      <c r="F56" s="454"/>
      <c r="G56" s="454"/>
      <c r="H56" s="471"/>
      <c r="I56" s="473"/>
      <c r="J56" s="473"/>
      <c r="K56" s="471"/>
      <c r="L56" s="44">
        <f t="shared" ref="L56" si="20">MOD(G55,100)+FLOOR(G55/100,1)*60</f>
        <v>1020</v>
      </c>
      <c r="M56" s="44"/>
      <c r="N56" s="476"/>
      <c r="O56" s="45"/>
      <c r="P56" s="46"/>
      <c r="Q56" s="47"/>
      <c r="R56" s="47"/>
      <c r="S56" s="47"/>
      <c r="T56" s="48"/>
      <c r="U56" s="462"/>
      <c r="V56" s="462"/>
      <c r="W56" s="36"/>
      <c r="X56" s="49"/>
      <c r="Y56" s="50"/>
      <c r="Z56" s="50"/>
      <c r="AA56" s="50"/>
      <c r="AB56" s="51"/>
      <c r="AC56" s="52"/>
      <c r="AD56" s="465"/>
      <c r="AE56" s="53"/>
      <c r="AF56" s="54"/>
      <c r="AG56" s="55"/>
      <c r="AH56" s="468"/>
      <c r="AI56" s="468"/>
      <c r="AJ56" s="55"/>
      <c r="AK56" s="1"/>
      <c r="AL56" s="438"/>
      <c r="AM56" s="438"/>
      <c r="AN56" s="438"/>
      <c r="AO56" s="438"/>
      <c r="AP56" s="438"/>
      <c r="AQ56" s="438"/>
      <c r="AR56" s="438"/>
      <c r="AS56" s="438"/>
      <c r="AT56" s="29"/>
      <c r="AU56" s="30"/>
      <c r="AV56" s="30"/>
      <c r="AW56" s="30"/>
      <c r="AX56" s="30"/>
    </row>
    <row r="57" spans="1:50" ht="11.25" customHeight="1">
      <c r="A57" s="1"/>
      <c r="B57" s="442"/>
      <c r="C57" s="445"/>
      <c r="D57" s="448"/>
      <c r="E57" s="451"/>
      <c r="F57" s="454"/>
      <c r="G57" s="454"/>
      <c r="H57" s="471"/>
      <c r="I57" s="473"/>
      <c r="J57" s="473"/>
      <c r="K57" s="471"/>
      <c r="L57" s="44">
        <f t="shared" ref="L57" si="21">L56-L55</f>
        <v>540</v>
      </c>
      <c r="M57" s="44"/>
      <c r="N57" s="476"/>
      <c r="O57" s="46"/>
      <c r="P57" s="45">
        <f t="shared" ref="P57" si="22">SUMIF(AB55:AB64,"有休",AC55:AC64)+SUMIF(AB55:AB64,"無給休",AC55:AC64)+SUMIF(AB55:AB64,"振休",AC55:AC64)+SUMIF(AB55:AB64,"特休",AC55:AC64)</f>
        <v>0</v>
      </c>
      <c r="Q57" s="47"/>
      <c r="R57" s="47"/>
      <c r="S57" s="47"/>
      <c r="T57" s="48"/>
      <c r="U57" s="462"/>
      <c r="V57" s="462"/>
      <c r="W57" s="36"/>
      <c r="X57" s="49"/>
      <c r="Y57" s="50"/>
      <c r="Z57" s="50"/>
      <c r="AA57" s="50"/>
      <c r="AB57" s="51"/>
      <c r="AC57" s="52"/>
      <c r="AD57" s="465"/>
      <c r="AE57" s="53"/>
      <c r="AF57" s="54"/>
      <c r="AG57" s="55"/>
      <c r="AH57" s="468"/>
      <c r="AI57" s="468"/>
      <c r="AJ57" s="54"/>
      <c r="AK57" s="1"/>
      <c r="AL57" s="438"/>
      <c r="AM57" s="438"/>
      <c r="AN57" s="438"/>
      <c r="AO57" s="438"/>
      <c r="AP57" s="438"/>
      <c r="AQ57" s="438"/>
      <c r="AR57" s="438"/>
      <c r="AS57" s="438"/>
      <c r="AT57" s="29"/>
      <c r="AU57" s="30"/>
      <c r="AV57" s="30"/>
      <c r="AW57" s="30"/>
      <c r="AX57" s="30"/>
    </row>
    <row r="58" spans="1:50" ht="11.25" customHeight="1">
      <c r="A58" s="1"/>
      <c r="B58" s="442"/>
      <c r="C58" s="445"/>
      <c r="D58" s="448"/>
      <c r="E58" s="451"/>
      <c r="F58" s="454"/>
      <c r="G58" s="454"/>
      <c r="H58" s="471"/>
      <c r="I58" s="473"/>
      <c r="J58" s="473"/>
      <c r="K58" s="471"/>
      <c r="L58" s="44">
        <f t="shared" ref="L58" si="23">ROUNDUP(L57/60,2)</f>
        <v>9</v>
      </c>
      <c r="M58" s="44"/>
      <c r="N58" s="476"/>
      <c r="O58" s="46"/>
      <c r="P58" s="46"/>
      <c r="Q58" s="47"/>
      <c r="R58" s="47"/>
      <c r="S58" s="47"/>
      <c r="T58" s="48"/>
      <c r="U58" s="462"/>
      <c r="V58" s="462"/>
      <c r="W58" s="36"/>
      <c r="X58" s="49"/>
      <c r="Y58" s="50"/>
      <c r="Z58" s="50"/>
      <c r="AA58" s="50"/>
      <c r="AB58" s="51"/>
      <c r="AC58" s="52"/>
      <c r="AD58" s="465"/>
      <c r="AE58" s="53"/>
      <c r="AF58" s="54"/>
      <c r="AG58" s="55"/>
      <c r="AH58" s="468"/>
      <c r="AI58" s="468"/>
      <c r="AJ58" s="55"/>
      <c r="AK58" s="1"/>
      <c r="AL58" s="438"/>
      <c r="AM58" s="438"/>
      <c r="AN58" s="438"/>
      <c r="AO58" s="438"/>
      <c r="AP58" s="438"/>
      <c r="AQ58" s="438"/>
      <c r="AR58" s="438"/>
      <c r="AS58" s="438"/>
      <c r="AT58" s="29"/>
      <c r="AU58" s="30"/>
      <c r="AV58" s="30"/>
      <c r="AW58" s="30"/>
      <c r="AX58" s="30"/>
    </row>
    <row r="59" spans="1:50" ht="11.25" customHeight="1">
      <c r="A59" s="1"/>
      <c r="B59" s="442"/>
      <c r="C59" s="445"/>
      <c r="D59" s="448"/>
      <c r="E59" s="451"/>
      <c r="F59" s="454"/>
      <c r="G59" s="454"/>
      <c r="H59" s="471"/>
      <c r="I59" s="473"/>
      <c r="J59" s="473"/>
      <c r="K59" s="471"/>
      <c r="L59" s="44">
        <f t="shared" ref="L59" si="24">IF(L58&gt;0,L58-HOUR(H55)-MINUTE(H55)/60,0)</f>
        <v>8</v>
      </c>
      <c r="M59" s="56">
        <f t="shared" ref="M59" si="25">TIME(L59-MOD(L59,1),MOD(L59,1)*60,0)</f>
        <v>0.33333333333333331</v>
      </c>
      <c r="N59" s="476"/>
      <c r="O59" s="45">
        <f t="shared" ref="O59" si="26">M61</f>
        <v>0</v>
      </c>
      <c r="P59" s="45">
        <f t="shared" ref="P59" si="27">SUMIF(AB55:AB64,"1.25",AC55:AC64)+SUMIF(AB55:AB64,"他時間外",AC55:AC64)+SUMIF(AB55:AB64,"1.35",AC55:AC64)</f>
        <v>0</v>
      </c>
      <c r="Q59" s="47"/>
      <c r="R59" s="47"/>
      <c r="S59" s="47"/>
      <c r="T59" s="48"/>
      <c r="U59" s="462"/>
      <c r="V59" s="462"/>
      <c r="W59" s="36"/>
      <c r="X59" s="49"/>
      <c r="Y59" s="50"/>
      <c r="Z59" s="50"/>
      <c r="AA59" s="50"/>
      <c r="AB59" s="51"/>
      <c r="AC59" s="52"/>
      <c r="AD59" s="465"/>
      <c r="AE59" s="53"/>
      <c r="AF59" s="54"/>
      <c r="AG59" s="55"/>
      <c r="AH59" s="468"/>
      <c r="AI59" s="468"/>
      <c r="AJ59" s="55"/>
      <c r="AK59" s="1"/>
      <c r="AL59" s="438"/>
      <c r="AM59" s="438"/>
      <c r="AN59" s="438"/>
      <c r="AO59" s="438"/>
      <c r="AP59" s="438"/>
      <c r="AQ59" s="438"/>
      <c r="AR59" s="438"/>
      <c r="AS59" s="438"/>
      <c r="AT59" s="29"/>
      <c r="AU59" s="30"/>
      <c r="AV59" s="30"/>
      <c r="AW59" s="30"/>
      <c r="AX59" s="30"/>
    </row>
    <row r="60" spans="1:50" ht="11.25" customHeight="1">
      <c r="A60" s="1"/>
      <c r="B60" s="442"/>
      <c r="C60" s="445"/>
      <c r="D60" s="448"/>
      <c r="E60" s="451"/>
      <c r="F60" s="454"/>
      <c r="G60" s="454"/>
      <c r="H60" s="471"/>
      <c r="I60" s="473"/>
      <c r="J60" s="473"/>
      <c r="K60" s="471"/>
      <c r="L60" s="44">
        <f t="shared" ref="L60" si="28">L59-$L$12</f>
        <v>0.25</v>
      </c>
      <c r="M60" s="44"/>
      <c r="N60" s="476"/>
      <c r="O60" s="46"/>
      <c r="P60" s="46"/>
      <c r="Q60" s="47"/>
      <c r="R60" s="47"/>
      <c r="S60" s="47"/>
      <c r="T60" s="48"/>
      <c r="U60" s="462"/>
      <c r="V60" s="462"/>
      <c r="W60" s="36"/>
      <c r="X60" s="49"/>
      <c r="Y60" s="50"/>
      <c r="Z60" s="50"/>
      <c r="AA60" s="50"/>
      <c r="AB60" s="51"/>
      <c r="AC60" s="52"/>
      <c r="AD60" s="465"/>
      <c r="AE60" s="53"/>
      <c r="AF60" s="54"/>
      <c r="AG60" s="55"/>
      <c r="AH60" s="468"/>
      <c r="AI60" s="468"/>
      <c r="AJ60" s="55"/>
      <c r="AK60" s="1"/>
      <c r="AL60" s="438"/>
      <c r="AM60" s="438"/>
      <c r="AN60" s="438"/>
      <c r="AO60" s="438"/>
      <c r="AP60" s="438"/>
      <c r="AQ60" s="438"/>
      <c r="AR60" s="438"/>
      <c r="AS60" s="438"/>
      <c r="AT60" s="29"/>
      <c r="AU60" s="30"/>
      <c r="AV60" s="30"/>
      <c r="AW60" s="30"/>
      <c r="AX60" s="30"/>
    </row>
    <row r="61" spans="1:50" ht="11.25" customHeight="1">
      <c r="A61" s="1"/>
      <c r="B61" s="442"/>
      <c r="C61" s="445"/>
      <c r="D61" s="448"/>
      <c r="E61" s="451"/>
      <c r="F61" s="454"/>
      <c r="G61" s="454"/>
      <c r="H61" s="471"/>
      <c r="I61" s="473"/>
      <c r="J61" s="473"/>
      <c r="K61" s="471"/>
      <c r="L61" s="44">
        <f t="shared" ref="L61" si="29">IF($I$3= "協力会社",0,IF(L60&gt;0,L60,0))</f>
        <v>0</v>
      </c>
      <c r="M61" s="56">
        <f t="shared" ref="M61" si="30">TIME(L61-MOD(L61,1),MOD(L61,1)*60,0)</f>
        <v>0</v>
      </c>
      <c r="N61" s="476"/>
      <c r="O61" s="46"/>
      <c r="P61" s="45">
        <f t="shared" ref="P61" si="31">SUMIF(AB55:AB64,"0.25深夜",AC55:AC64)</f>
        <v>0</v>
      </c>
      <c r="Q61" s="47"/>
      <c r="R61" s="47"/>
      <c r="S61" s="47"/>
      <c r="T61" s="48"/>
      <c r="U61" s="462"/>
      <c r="V61" s="462"/>
      <c r="W61" s="36"/>
      <c r="X61" s="49"/>
      <c r="Y61" s="50"/>
      <c r="Z61" s="50"/>
      <c r="AA61" s="50"/>
      <c r="AB61" s="51"/>
      <c r="AC61" s="52"/>
      <c r="AD61" s="465"/>
      <c r="AE61" s="53"/>
      <c r="AF61" s="54"/>
      <c r="AG61" s="55"/>
      <c r="AH61" s="468"/>
      <c r="AI61" s="468"/>
      <c r="AJ61" s="55"/>
      <c r="AK61" s="1"/>
      <c r="AL61" s="438"/>
      <c r="AM61" s="438"/>
      <c r="AN61" s="438"/>
      <c r="AO61" s="438"/>
      <c r="AP61" s="438"/>
      <c r="AQ61" s="438"/>
      <c r="AR61" s="438"/>
      <c r="AS61" s="438"/>
      <c r="AT61" s="29"/>
      <c r="AU61" s="30"/>
      <c r="AV61" s="30"/>
      <c r="AW61" s="30"/>
      <c r="AX61" s="30"/>
    </row>
    <row r="62" spans="1:50" ht="11.25" customHeight="1">
      <c r="A62" s="1"/>
      <c r="B62" s="442"/>
      <c r="C62" s="445"/>
      <c r="D62" s="448"/>
      <c r="E62" s="451"/>
      <c r="F62" s="454"/>
      <c r="G62" s="454"/>
      <c r="H62" s="471"/>
      <c r="I62" s="473"/>
      <c r="J62" s="473"/>
      <c r="K62" s="471"/>
      <c r="L62" s="44"/>
      <c r="M62" s="44"/>
      <c r="N62" s="476"/>
      <c r="O62" s="46"/>
      <c r="P62" s="46"/>
      <c r="Q62" s="47"/>
      <c r="R62" s="47"/>
      <c r="S62" s="47"/>
      <c r="T62" s="48"/>
      <c r="U62" s="462"/>
      <c r="V62" s="462"/>
      <c r="W62" s="36"/>
      <c r="X62" s="49"/>
      <c r="Y62" s="50"/>
      <c r="Z62" s="50"/>
      <c r="AA62" s="50"/>
      <c r="AB62" s="51"/>
      <c r="AC62" s="52"/>
      <c r="AD62" s="465"/>
      <c r="AE62" s="53"/>
      <c r="AF62" s="54"/>
      <c r="AG62" s="55"/>
      <c r="AH62" s="468"/>
      <c r="AI62" s="468"/>
      <c r="AJ62" s="55"/>
      <c r="AK62" s="1"/>
      <c r="AL62" s="438"/>
      <c r="AM62" s="438"/>
      <c r="AN62" s="438"/>
      <c r="AO62" s="438"/>
      <c r="AP62" s="438"/>
      <c r="AQ62" s="438"/>
      <c r="AR62" s="438"/>
      <c r="AS62" s="438"/>
      <c r="AT62" s="29"/>
      <c r="AU62" s="30"/>
      <c r="AV62" s="30"/>
      <c r="AW62" s="30"/>
      <c r="AX62" s="30"/>
    </row>
    <row r="63" spans="1:50" ht="11.25" customHeight="1">
      <c r="A63" s="1"/>
      <c r="B63" s="442"/>
      <c r="C63" s="445"/>
      <c r="D63" s="448"/>
      <c r="E63" s="451"/>
      <c r="F63" s="454"/>
      <c r="G63" s="454"/>
      <c r="H63" s="471"/>
      <c r="I63" s="473"/>
      <c r="J63" s="473"/>
      <c r="K63" s="471"/>
      <c r="L63" s="44"/>
      <c r="M63" s="44"/>
      <c r="N63" s="478"/>
      <c r="O63" s="57">
        <f t="shared" ref="O63" si="32">O55+O59</f>
        <v>0.33333333333333331</v>
      </c>
      <c r="P63" s="57">
        <f t="shared" ref="P63" si="33">SUM(P55:P59)</f>
        <v>0.33333333333333331</v>
      </c>
      <c r="Q63" s="47"/>
      <c r="R63" s="47"/>
      <c r="S63" s="47"/>
      <c r="T63" s="48"/>
      <c r="U63" s="462"/>
      <c r="V63" s="462"/>
      <c r="W63" s="36"/>
      <c r="X63" s="49"/>
      <c r="Y63" s="49"/>
      <c r="Z63" s="49"/>
      <c r="AA63" s="49"/>
      <c r="AB63" s="51"/>
      <c r="AC63" s="52"/>
      <c r="AD63" s="465"/>
      <c r="AE63" s="53"/>
      <c r="AF63" s="59"/>
      <c r="AG63" s="60"/>
      <c r="AH63" s="468"/>
      <c r="AI63" s="468"/>
      <c r="AJ63" s="55"/>
      <c r="AK63" s="1"/>
      <c r="AL63" s="438"/>
      <c r="AM63" s="438"/>
      <c r="AN63" s="438"/>
      <c r="AO63" s="438"/>
      <c r="AP63" s="438"/>
      <c r="AQ63" s="438"/>
      <c r="AR63" s="438"/>
      <c r="AS63" s="438"/>
      <c r="AT63" s="29"/>
      <c r="AU63" s="30"/>
      <c r="AV63" s="30"/>
      <c r="AW63" s="30"/>
      <c r="AX63" s="30"/>
    </row>
    <row r="64" spans="1:50" ht="11.25" customHeight="1">
      <c r="A64" s="1"/>
      <c r="B64" s="443"/>
      <c r="C64" s="446"/>
      <c r="D64" s="449"/>
      <c r="E64" s="452"/>
      <c r="F64" s="455"/>
      <c r="G64" s="455"/>
      <c r="H64" s="472"/>
      <c r="I64" s="474"/>
      <c r="J64" s="474"/>
      <c r="K64" s="472"/>
      <c r="L64" s="61"/>
      <c r="M64" s="61"/>
      <c r="N64" s="477"/>
      <c r="O64" s="62"/>
      <c r="P64" s="62"/>
      <c r="Q64" s="63"/>
      <c r="R64" s="63"/>
      <c r="S64" s="63"/>
      <c r="T64" s="64"/>
      <c r="U64" s="463"/>
      <c r="V64" s="463"/>
      <c r="W64" s="65"/>
      <c r="X64" s="66"/>
      <c r="Y64" s="67"/>
      <c r="Z64" s="67"/>
      <c r="AA64" s="67"/>
      <c r="AB64" s="68"/>
      <c r="AC64" s="69"/>
      <c r="AD64" s="466"/>
      <c r="AE64" s="70"/>
      <c r="AF64" s="71"/>
      <c r="AG64" s="72"/>
      <c r="AH64" s="469"/>
      <c r="AI64" s="469"/>
      <c r="AJ64" s="72"/>
      <c r="AK64" s="1"/>
      <c r="AL64" s="439"/>
      <c r="AM64" s="439"/>
      <c r="AN64" s="439"/>
      <c r="AO64" s="439"/>
      <c r="AP64" s="439"/>
      <c r="AQ64" s="439"/>
      <c r="AR64" s="439"/>
      <c r="AS64" s="439"/>
      <c r="AT64" s="29"/>
      <c r="AU64" s="30"/>
      <c r="AV64" s="30"/>
      <c r="AW64" s="30"/>
      <c r="AX64" s="30"/>
    </row>
    <row r="65" spans="1:50">
      <c r="A65" s="1"/>
      <c r="B65" s="441">
        <f>IF(B55="","",IF(B55+1&gt;$AB$3,"",B55+1))</f>
        <v>44657</v>
      </c>
      <c r="C65" s="444">
        <f>IF(C55="","",IF(C55+1&gt;$AB$3,"",C55+1))</f>
        <v>44657</v>
      </c>
      <c r="D65" s="447">
        <f>IF(C65="","",WEEKDAY(C65,1))</f>
        <v>4</v>
      </c>
      <c r="E65" s="450" t="str">
        <f>IF($D65="","",IF(NOT(ISERROR(MATCH($C65,祝日テーブル,0)=TRUE)),IF($D65=1,"法定","法定外"),IF($D65=1,"法定",IF($D65=7,"法定外",""))))</f>
        <v/>
      </c>
      <c r="F65" s="453">
        <v>900</v>
      </c>
      <c r="G65" s="453">
        <v>1745</v>
      </c>
      <c r="H65" s="470">
        <v>4.1666666666666664E-2</v>
      </c>
      <c r="I65" s="473"/>
      <c r="J65" s="473"/>
      <c r="K65" s="471"/>
      <c r="L65" s="32">
        <f t="shared" ref="L65" si="34">MOD(F65,100)+FLOOR(F65/100,1)*60</f>
        <v>540</v>
      </c>
      <c r="M65" s="32"/>
      <c r="N65" s="475"/>
      <c r="O65" s="33">
        <f t="shared" ref="O65" si="35">IF($I$3= "協力会社",M69,IF(L69&gt;=$L$12,$M$12,IF(L69&gt;0,M69,0)))</f>
        <v>0.32291666666666669</v>
      </c>
      <c r="P65" s="33">
        <f t="shared" ref="P65" si="36">SUMIF(AB65:AB74,"1.00",AC65:AC74)+SUMIF(AB65:AB74,"振休取得",AC65:AC74)</f>
        <v>0.32291666666666669</v>
      </c>
      <c r="Q65" s="34"/>
      <c r="R65" s="34"/>
      <c r="S65" s="34"/>
      <c r="T65" s="35"/>
      <c r="U65" s="462"/>
      <c r="V65" s="462"/>
      <c r="W65" s="36" t="s">
        <v>649</v>
      </c>
      <c r="X65" s="37" t="s">
        <v>608</v>
      </c>
      <c r="Y65" s="37"/>
      <c r="Z65" s="37" t="s">
        <v>650</v>
      </c>
      <c r="AA65" s="37"/>
      <c r="AB65" s="38" t="s">
        <v>121</v>
      </c>
      <c r="AC65" s="39">
        <v>0.32291666666666669</v>
      </c>
      <c r="AD65" s="464"/>
      <c r="AE65" s="40"/>
      <c r="AF65" s="41"/>
      <c r="AG65" s="42"/>
      <c r="AH65" s="467" t="s">
        <v>652</v>
      </c>
      <c r="AI65" s="467" t="s">
        <v>653</v>
      </c>
      <c r="AJ65" s="43"/>
      <c r="AK65" s="1"/>
      <c r="AL65" s="437"/>
      <c r="AM65" s="437"/>
      <c r="AN65" s="437"/>
      <c r="AO65" s="437"/>
      <c r="AP65" s="437"/>
      <c r="AQ65" s="437"/>
      <c r="AR65" s="437"/>
      <c r="AS65" s="437"/>
      <c r="AT65" s="29"/>
      <c r="AU65" s="30"/>
      <c r="AV65" s="30"/>
      <c r="AW65" s="30"/>
      <c r="AX65" s="30"/>
    </row>
    <row r="66" spans="1:50" ht="11.25" customHeight="1">
      <c r="A66" s="1"/>
      <c r="B66" s="442"/>
      <c r="C66" s="445"/>
      <c r="D66" s="448"/>
      <c r="E66" s="451"/>
      <c r="F66" s="454"/>
      <c r="G66" s="454"/>
      <c r="H66" s="471"/>
      <c r="I66" s="473"/>
      <c r="J66" s="473"/>
      <c r="K66" s="471"/>
      <c r="L66" s="44">
        <f t="shared" ref="L66" si="37">MOD(G65,100)+FLOOR(G65/100,1)*60</f>
        <v>1065</v>
      </c>
      <c r="M66" s="44"/>
      <c r="N66" s="476"/>
      <c r="O66" s="45"/>
      <c r="P66" s="46"/>
      <c r="Q66" s="47"/>
      <c r="R66" s="47"/>
      <c r="S66" s="47"/>
      <c r="T66" s="48"/>
      <c r="U66" s="462"/>
      <c r="V66" s="462"/>
      <c r="W66" s="36"/>
      <c r="X66" s="49"/>
      <c r="Y66" s="50"/>
      <c r="Z66" s="50"/>
      <c r="AA66" s="50"/>
      <c r="AB66" s="51"/>
      <c r="AC66" s="52"/>
      <c r="AD66" s="465"/>
      <c r="AE66" s="53"/>
      <c r="AF66" s="54"/>
      <c r="AG66" s="55"/>
      <c r="AH66" s="468"/>
      <c r="AI66" s="468"/>
      <c r="AJ66" s="54"/>
      <c r="AK66" s="1"/>
      <c r="AL66" s="438"/>
      <c r="AM66" s="438"/>
      <c r="AN66" s="438"/>
      <c r="AO66" s="438"/>
      <c r="AP66" s="438"/>
      <c r="AQ66" s="438"/>
      <c r="AR66" s="438"/>
      <c r="AS66" s="438"/>
      <c r="AT66" s="29"/>
      <c r="AU66" s="30"/>
      <c r="AV66" s="30"/>
      <c r="AW66" s="30"/>
      <c r="AX66" s="30"/>
    </row>
    <row r="67" spans="1:50" ht="11.25" customHeight="1">
      <c r="A67" s="1"/>
      <c r="B67" s="442"/>
      <c r="C67" s="445"/>
      <c r="D67" s="448"/>
      <c r="E67" s="451"/>
      <c r="F67" s="454"/>
      <c r="G67" s="454"/>
      <c r="H67" s="471"/>
      <c r="I67" s="473"/>
      <c r="J67" s="473"/>
      <c r="K67" s="471"/>
      <c r="L67" s="44">
        <f t="shared" ref="L67" si="38">L66-L65</f>
        <v>525</v>
      </c>
      <c r="M67" s="44"/>
      <c r="N67" s="476"/>
      <c r="O67" s="46"/>
      <c r="P67" s="45">
        <f t="shared" ref="P67" si="39">SUMIF(AB65:AB74,"有休",AC65:AC74)+SUMIF(AB65:AB74,"無給休",AC65:AC74)+SUMIF(AB65:AB74,"振休",AC65:AC74)+SUMIF(AB65:AB74,"特休",AC65:AC74)</f>
        <v>0</v>
      </c>
      <c r="Q67" s="47"/>
      <c r="R67" s="47"/>
      <c r="S67" s="47"/>
      <c r="T67" s="48"/>
      <c r="U67" s="462"/>
      <c r="V67" s="462"/>
      <c r="W67" s="36"/>
      <c r="X67" s="49"/>
      <c r="Y67" s="50"/>
      <c r="Z67" s="50"/>
      <c r="AA67" s="50"/>
      <c r="AB67" s="51"/>
      <c r="AC67" s="52"/>
      <c r="AD67" s="465"/>
      <c r="AE67" s="53"/>
      <c r="AF67" s="54"/>
      <c r="AG67" s="55"/>
      <c r="AH67" s="468"/>
      <c r="AI67" s="468"/>
      <c r="AJ67" s="54"/>
      <c r="AK67" s="1"/>
      <c r="AL67" s="438"/>
      <c r="AM67" s="438"/>
      <c r="AN67" s="438"/>
      <c r="AO67" s="438"/>
      <c r="AP67" s="438"/>
      <c r="AQ67" s="438"/>
      <c r="AR67" s="438"/>
      <c r="AS67" s="438"/>
      <c r="AT67" s="29"/>
      <c r="AU67" s="30"/>
      <c r="AV67" s="30"/>
      <c r="AW67" s="30"/>
      <c r="AX67" s="30"/>
    </row>
    <row r="68" spans="1:50" ht="11.25" customHeight="1">
      <c r="A68" s="1"/>
      <c r="B68" s="442"/>
      <c r="C68" s="445"/>
      <c r="D68" s="448"/>
      <c r="E68" s="451"/>
      <c r="F68" s="454"/>
      <c r="G68" s="454"/>
      <c r="H68" s="471"/>
      <c r="I68" s="473"/>
      <c r="J68" s="473"/>
      <c r="K68" s="471"/>
      <c r="L68" s="44">
        <f t="shared" ref="L68" si="40">ROUNDUP(L67/60,2)</f>
        <v>8.75</v>
      </c>
      <c r="M68" s="44"/>
      <c r="N68" s="476"/>
      <c r="O68" s="46"/>
      <c r="P68" s="46"/>
      <c r="Q68" s="47"/>
      <c r="R68" s="47"/>
      <c r="S68" s="47"/>
      <c r="T68" s="48"/>
      <c r="U68" s="462"/>
      <c r="V68" s="462"/>
      <c r="W68" s="36"/>
      <c r="X68" s="49"/>
      <c r="Y68" s="50"/>
      <c r="Z68" s="50"/>
      <c r="AA68" s="50"/>
      <c r="AB68" s="51"/>
      <c r="AC68" s="52"/>
      <c r="AD68" s="465"/>
      <c r="AE68" s="53"/>
      <c r="AF68" s="54"/>
      <c r="AG68" s="55"/>
      <c r="AH68" s="468"/>
      <c r="AI68" s="468"/>
      <c r="AJ68" s="55"/>
      <c r="AK68" s="1"/>
      <c r="AL68" s="438"/>
      <c r="AM68" s="438"/>
      <c r="AN68" s="438"/>
      <c r="AO68" s="438"/>
      <c r="AP68" s="438"/>
      <c r="AQ68" s="438"/>
      <c r="AR68" s="438"/>
      <c r="AS68" s="438"/>
      <c r="AT68" s="29"/>
      <c r="AU68" s="30"/>
      <c r="AV68" s="30"/>
      <c r="AW68" s="30"/>
      <c r="AX68" s="30"/>
    </row>
    <row r="69" spans="1:50" ht="11.25" customHeight="1">
      <c r="A69" s="1"/>
      <c r="B69" s="442"/>
      <c r="C69" s="445"/>
      <c r="D69" s="448"/>
      <c r="E69" s="451"/>
      <c r="F69" s="454"/>
      <c r="G69" s="454"/>
      <c r="H69" s="471"/>
      <c r="I69" s="473"/>
      <c r="J69" s="473"/>
      <c r="K69" s="471"/>
      <c r="L69" s="44">
        <f t="shared" ref="L69" si="41">IF(L68&gt;0,L68-HOUR(H65)-MINUTE(H65)/60,0)</f>
        <v>7.75</v>
      </c>
      <c r="M69" s="56">
        <f t="shared" ref="M69" si="42">TIME(L69-MOD(L69,1),MOD(L69,1)*60,0)</f>
        <v>0.32291666666666669</v>
      </c>
      <c r="N69" s="476"/>
      <c r="O69" s="45">
        <f t="shared" ref="O69" si="43">M71</f>
        <v>0</v>
      </c>
      <c r="P69" s="45">
        <f t="shared" ref="P69" si="44">SUMIF(AB65:AB74,"1.25",AC65:AC74)+SUMIF(AB65:AB74,"他時間外",AC65:AC74)+SUMIF(AB65:AB74,"1.35",AC65:AC74)</f>
        <v>0</v>
      </c>
      <c r="Q69" s="47"/>
      <c r="R69" s="47"/>
      <c r="S69" s="47"/>
      <c r="T69" s="48"/>
      <c r="U69" s="462"/>
      <c r="V69" s="462"/>
      <c r="W69" s="36"/>
      <c r="X69" s="49"/>
      <c r="Y69" s="50"/>
      <c r="Z69" s="50"/>
      <c r="AA69" s="50"/>
      <c r="AB69" s="51"/>
      <c r="AC69" s="52"/>
      <c r="AD69" s="465"/>
      <c r="AE69" s="53"/>
      <c r="AF69" s="54"/>
      <c r="AG69" s="55"/>
      <c r="AH69" s="468"/>
      <c r="AI69" s="468"/>
      <c r="AJ69" s="55"/>
      <c r="AK69" s="1"/>
      <c r="AL69" s="438"/>
      <c r="AM69" s="438"/>
      <c r="AN69" s="438"/>
      <c r="AO69" s="438"/>
      <c r="AP69" s="438"/>
      <c r="AQ69" s="438"/>
      <c r="AR69" s="438"/>
      <c r="AS69" s="438"/>
      <c r="AT69" s="29"/>
      <c r="AU69" s="30"/>
      <c r="AV69" s="30"/>
      <c r="AW69" s="30"/>
      <c r="AX69" s="30"/>
    </row>
    <row r="70" spans="1:50" ht="11.25" customHeight="1">
      <c r="A70" s="1"/>
      <c r="B70" s="442"/>
      <c r="C70" s="445"/>
      <c r="D70" s="448"/>
      <c r="E70" s="451"/>
      <c r="F70" s="454"/>
      <c r="G70" s="454"/>
      <c r="H70" s="471"/>
      <c r="I70" s="473"/>
      <c r="J70" s="473"/>
      <c r="K70" s="471"/>
      <c r="L70" s="44">
        <f t="shared" ref="L70" si="45">L69-$L$12</f>
        <v>0</v>
      </c>
      <c r="M70" s="44"/>
      <c r="N70" s="476"/>
      <c r="O70" s="46"/>
      <c r="P70" s="46"/>
      <c r="Q70" s="47"/>
      <c r="R70" s="47"/>
      <c r="S70" s="47"/>
      <c r="T70" s="48"/>
      <c r="U70" s="462"/>
      <c r="V70" s="462"/>
      <c r="W70" s="36"/>
      <c r="X70" s="49"/>
      <c r="Y70" s="50"/>
      <c r="Z70" s="50"/>
      <c r="AA70" s="50"/>
      <c r="AB70" s="51"/>
      <c r="AC70" s="52"/>
      <c r="AD70" s="465"/>
      <c r="AE70" s="53"/>
      <c r="AF70" s="54"/>
      <c r="AG70" s="55"/>
      <c r="AH70" s="468"/>
      <c r="AI70" s="468"/>
      <c r="AJ70" s="55"/>
      <c r="AK70" s="1"/>
      <c r="AL70" s="438"/>
      <c r="AM70" s="438"/>
      <c r="AN70" s="438"/>
      <c r="AO70" s="438"/>
      <c r="AP70" s="438"/>
      <c r="AQ70" s="438"/>
      <c r="AR70" s="438"/>
      <c r="AS70" s="438"/>
      <c r="AT70" s="29"/>
      <c r="AU70" s="30"/>
      <c r="AV70" s="30"/>
      <c r="AW70" s="30"/>
      <c r="AX70" s="30"/>
    </row>
    <row r="71" spans="1:50" ht="11.25" customHeight="1">
      <c r="A71" s="1"/>
      <c r="B71" s="442"/>
      <c r="C71" s="445"/>
      <c r="D71" s="448"/>
      <c r="E71" s="451"/>
      <c r="F71" s="454"/>
      <c r="G71" s="454"/>
      <c r="H71" s="471"/>
      <c r="I71" s="473"/>
      <c r="J71" s="473"/>
      <c r="K71" s="471"/>
      <c r="L71" s="44">
        <f t="shared" ref="L71" si="46">IF($I$3= "協力会社",0,IF(L70&gt;0,L70,0))</f>
        <v>0</v>
      </c>
      <c r="M71" s="56">
        <f t="shared" ref="M71" si="47">TIME(L71-MOD(L71,1),MOD(L71,1)*60,0)</f>
        <v>0</v>
      </c>
      <c r="N71" s="476"/>
      <c r="O71" s="46"/>
      <c r="P71" s="45">
        <f t="shared" ref="P71" si="48">SUMIF(AB65:AB74,"0.25深夜",AC65:AC74)</f>
        <v>0</v>
      </c>
      <c r="Q71" s="47"/>
      <c r="R71" s="47"/>
      <c r="S71" s="47"/>
      <c r="T71" s="48"/>
      <c r="U71" s="462"/>
      <c r="V71" s="462"/>
      <c r="W71" s="36"/>
      <c r="X71" s="49"/>
      <c r="Y71" s="50"/>
      <c r="Z71" s="50"/>
      <c r="AA71" s="50"/>
      <c r="AB71" s="51"/>
      <c r="AC71" s="52"/>
      <c r="AD71" s="465"/>
      <c r="AE71" s="53"/>
      <c r="AF71" s="54"/>
      <c r="AG71" s="55"/>
      <c r="AH71" s="468"/>
      <c r="AI71" s="468"/>
      <c r="AJ71" s="55"/>
      <c r="AK71" s="1"/>
      <c r="AL71" s="438"/>
      <c r="AM71" s="438"/>
      <c r="AN71" s="438"/>
      <c r="AO71" s="438"/>
      <c r="AP71" s="438"/>
      <c r="AQ71" s="438"/>
      <c r="AR71" s="438"/>
      <c r="AS71" s="438"/>
      <c r="AT71" s="29"/>
      <c r="AU71" s="30"/>
      <c r="AV71" s="30"/>
      <c r="AW71" s="30"/>
      <c r="AX71" s="30"/>
    </row>
    <row r="72" spans="1:50" ht="11.25" customHeight="1">
      <c r="A72" s="1"/>
      <c r="B72" s="442"/>
      <c r="C72" s="445"/>
      <c r="D72" s="448"/>
      <c r="E72" s="451"/>
      <c r="F72" s="454"/>
      <c r="G72" s="454"/>
      <c r="H72" s="471"/>
      <c r="I72" s="473"/>
      <c r="J72" s="473"/>
      <c r="K72" s="471"/>
      <c r="L72" s="44"/>
      <c r="M72" s="44"/>
      <c r="N72" s="476"/>
      <c r="O72" s="46"/>
      <c r="P72" s="46"/>
      <c r="Q72" s="47"/>
      <c r="R72" s="47"/>
      <c r="S72" s="47"/>
      <c r="T72" s="48"/>
      <c r="U72" s="462"/>
      <c r="V72" s="462"/>
      <c r="W72" s="36"/>
      <c r="X72" s="49"/>
      <c r="Y72" s="50"/>
      <c r="Z72" s="50"/>
      <c r="AA72" s="50"/>
      <c r="AB72" s="51"/>
      <c r="AC72" s="52"/>
      <c r="AD72" s="465"/>
      <c r="AE72" s="53"/>
      <c r="AF72" s="54"/>
      <c r="AG72" s="55"/>
      <c r="AH72" s="468"/>
      <c r="AI72" s="468"/>
      <c r="AJ72" s="55"/>
      <c r="AK72" s="1"/>
      <c r="AL72" s="438"/>
      <c r="AM72" s="438"/>
      <c r="AN72" s="438"/>
      <c r="AO72" s="438"/>
      <c r="AP72" s="438"/>
      <c r="AQ72" s="438"/>
      <c r="AR72" s="438"/>
      <c r="AS72" s="438"/>
      <c r="AT72" s="29"/>
      <c r="AU72" s="30"/>
      <c r="AV72" s="30"/>
      <c r="AW72" s="30"/>
      <c r="AX72" s="30"/>
    </row>
    <row r="73" spans="1:50" ht="11.25" customHeight="1">
      <c r="A73" s="1"/>
      <c r="B73" s="442"/>
      <c r="C73" s="445"/>
      <c r="D73" s="448"/>
      <c r="E73" s="451"/>
      <c r="F73" s="454"/>
      <c r="G73" s="454"/>
      <c r="H73" s="471"/>
      <c r="I73" s="473"/>
      <c r="J73" s="473"/>
      <c r="K73" s="471"/>
      <c r="L73" s="44"/>
      <c r="M73" s="44"/>
      <c r="N73" s="478"/>
      <c r="O73" s="57">
        <f t="shared" ref="O73" si="49">O65+O69</f>
        <v>0.32291666666666669</v>
      </c>
      <c r="P73" s="57">
        <f t="shared" ref="P73" si="50">SUM(P65:P69)</f>
        <v>0.32291666666666669</v>
      </c>
      <c r="Q73" s="47"/>
      <c r="R73" s="47"/>
      <c r="S73" s="47"/>
      <c r="T73" s="48"/>
      <c r="U73" s="462"/>
      <c r="V73" s="462"/>
      <c r="W73" s="36"/>
      <c r="X73" s="49"/>
      <c r="Y73" s="49"/>
      <c r="Z73" s="49"/>
      <c r="AA73" s="49"/>
      <c r="AB73" s="51"/>
      <c r="AC73" s="52"/>
      <c r="AD73" s="465"/>
      <c r="AE73" s="53"/>
      <c r="AF73" s="59"/>
      <c r="AG73" s="60"/>
      <c r="AH73" s="468"/>
      <c r="AI73" s="468"/>
      <c r="AJ73" s="55"/>
      <c r="AK73" s="1"/>
      <c r="AL73" s="438"/>
      <c r="AM73" s="438"/>
      <c r="AN73" s="438"/>
      <c r="AO73" s="438"/>
      <c r="AP73" s="438"/>
      <c r="AQ73" s="438"/>
      <c r="AR73" s="438"/>
      <c r="AS73" s="438"/>
      <c r="AT73" s="29"/>
      <c r="AU73" s="30"/>
      <c r="AV73" s="30"/>
      <c r="AW73" s="30"/>
      <c r="AX73" s="30"/>
    </row>
    <row r="74" spans="1:50" ht="11.25" customHeight="1">
      <c r="A74" s="1"/>
      <c r="B74" s="443"/>
      <c r="C74" s="446"/>
      <c r="D74" s="449"/>
      <c r="E74" s="452"/>
      <c r="F74" s="455"/>
      <c r="G74" s="455"/>
      <c r="H74" s="472"/>
      <c r="I74" s="474"/>
      <c r="J74" s="474"/>
      <c r="K74" s="472"/>
      <c r="L74" s="61"/>
      <c r="M74" s="61"/>
      <c r="N74" s="477"/>
      <c r="O74" s="62"/>
      <c r="P74" s="62"/>
      <c r="Q74" s="63"/>
      <c r="R74" s="63"/>
      <c r="S74" s="63"/>
      <c r="T74" s="64"/>
      <c r="U74" s="463"/>
      <c r="V74" s="463"/>
      <c r="W74" s="65" t="s">
        <v>464</v>
      </c>
      <c r="X74" s="66"/>
      <c r="Y74" s="67"/>
      <c r="Z74" s="67"/>
      <c r="AA74" s="67"/>
      <c r="AB74" s="68"/>
      <c r="AC74" s="69"/>
      <c r="AD74" s="466"/>
      <c r="AE74" s="70"/>
      <c r="AF74" s="71"/>
      <c r="AG74" s="72"/>
      <c r="AH74" s="469"/>
      <c r="AI74" s="469"/>
      <c r="AJ74" s="72"/>
      <c r="AK74" s="1"/>
      <c r="AL74" s="439"/>
      <c r="AM74" s="439"/>
      <c r="AN74" s="439"/>
      <c r="AO74" s="439"/>
      <c r="AP74" s="439"/>
      <c r="AQ74" s="439"/>
      <c r="AR74" s="439"/>
      <c r="AS74" s="439"/>
      <c r="AT74" s="29"/>
      <c r="AU74" s="30"/>
      <c r="AV74" s="30"/>
      <c r="AW74" s="30"/>
      <c r="AX74" s="30"/>
    </row>
    <row r="75" spans="1:50">
      <c r="A75" s="1"/>
      <c r="B75" s="441">
        <f>IF(B65="","",IF(B65+1&gt;$AB$3,"",B65+1))</f>
        <v>44658</v>
      </c>
      <c r="C75" s="444">
        <f>IF(C65="","",IF(C65+1&gt;$AB$3,"",C65+1))</f>
        <v>44658</v>
      </c>
      <c r="D75" s="447">
        <f>IF(C75="","",WEEKDAY(C75,1))</f>
        <v>5</v>
      </c>
      <c r="E75" s="450" t="str">
        <f>IF($D75="","",IF(NOT(ISERROR(MATCH($C75,祝日テーブル,0)=TRUE)),IF($D75=1,"法定","法定外"),IF($D75=1,"法定",IF($D75=7,"法定外",""))))</f>
        <v/>
      </c>
      <c r="F75" s="453">
        <v>800</v>
      </c>
      <c r="G75" s="453">
        <v>1700</v>
      </c>
      <c r="H75" s="470">
        <v>4.1666666666666664E-2</v>
      </c>
      <c r="I75" s="473"/>
      <c r="J75" s="473"/>
      <c r="K75" s="471"/>
      <c r="L75" s="32">
        <f t="shared" ref="L75" si="51">MOD(F75,100)+FLOOR(F75/100,1)*60</f>
        <v>480</v>
      </c>
      <c r="M75" s="32"/>
      <c r="N75" s="475"/>
      <c r="O75" s="33">
        <f t="shared" ref="O75" si="52">IF($I$3= "協力会社",M79,IF(L79&gt;=$L$12,$M$12,IF(L79&gt;0,M79,0)))</f>
        <v>0.33333333333333331</v>
      </c>
      <c r="P75" s="33">
        <f t="shared" ref="P75" si="53">SUMIF(AB75:AB84,"1.00",AC75:AC84)+SUMIF(AB75:AB84,"振休取得",AC75:AC84)</f>
        <v>0.33333333333333331</v>
      </c>
      <c r="Q75" s="34"/>
      <c r="R75" s="34"/>
      <c r="S75" s="34"/>
      <c r="T75" s="35"/>
      <c r="U75" s="462"/>
      <c r="V75" s="462"/>
      <c r="W75" s="36" t="s">
        <v>649</v>
      </c>
      <c r="X75" s="37" t="s">
        <v>608</v>
      </c>
      <c r="Y75" s="37"/>
      <c r="Z75" s="37" t="s">
        <v>650</v>
      </c>
      <c r="AA75" s="37"/>
      <c r="AB75" s="38" t="s">
        <v>121</v>
      </c>
      <c r="AC75" s="39">
        <v>0.33333333333333331</v>
      </c>
      <c r="AD75" s="464"/>
      <c r="AE75" s="40"/>
      <c r="AF75" s="41"/>
      <c r="AG75" s="42"/>
      <c r="AH75" s="467" t="s">
        <v>652</v>
      </c>
      <c r="AI75" s="467" t="s">
        <v>653</v>
      </c>
      <c r="AJ75" s="43"/>
      <c r="AK75" s="1"/>
      <c r="AL75" s="437"/>
      <c r="AM75" s="437"/>
      <c r="AN75" s="437"/>
      <c r="AO75" s="437"/>
      <c r="AP75" s="437"/>
      <c r="AQ75" s="437"/>
      <c r="AR75" s="437"/>
      <c r="AS75" s="437"/>
      <c r="AT75" s="29"/>
      <c r="AU75" s="30"/>
      <c r="AV75" s="30"/>
      <c r="AW75" s="30"/>
      <c r="AX75" s="30"/>
    </row>
    <row r="76" spans="1:50" ht="11.25" customHeight="1">
      <c r="A76" s="1"/>
      <c r="B76" s="442"/>
      <c r="C76" s="445"/>
      <c r="D76" s="448"/>
      <c r="E76" s="451"/>
      <c r="F76" s="454"/>
      <c r="G76" s="454"/>
      <c r="H76" s="471"/>
      <c r="I76" s="473"/>
      <c r="J76" s="473"/>
      <c r="K76" s="471"/>
      <c r="L76" s="44">
        <f t="shared" ref="L76" si="54">MOD(G75,100)+FLOOR(G75/100,1)*60</f>
        <v>1020</v>
      </c>
      <c r="M76" s="44"/>
      <c r="N76" s="476"/>
      <c r="O76" s="45"/>
      <c r="P76" s="46"/>
      <c r="Q76" s="47"/>
      <c r="R76" s="47"/>
      <c r="S76" s="47"/>
      <c r="T76" s="48"/>
      <c r="U76" s="462"/>
      <c r="V76" s="462"/>
      <c r="W76" s="36"/>
      <c r="X76" s="49"/>
      <c r="Y76" s="50"/>
      <c r="Z76" s="50"/>
      <c r="AA76" s="50"/>
      <c r="AB76" s="51"/>
      <c r="AC76" s="52"/>
      <c r="AD76" s="465"/>
      <c r="AE76" s="53"/>
      <c r="AF76" s="54"/>
      <c r="AG76" s="55"/>
      <c r="AH76" s="468"/>
      <c r="AI76" s="468"/>
      <c r="AJ76" s="55"/>
      <c r="AK76" s="1"/>
      <c r="AL76" s="438"/>
      <c r="AM76" s="438"/>
      <c r="AN76" s="438"/>
      <c r="AO76" s="438"/>
      <c r="AP76" s="438"/>
      <c r="AQ76" s="438"/>
      <c r="AR76" s="438"/>
      <c r="AS76" s="438"/>
      <c r="AT76" s="29"/>
      <c r="AU76" s="30"/>
      <c r="AV76" s="30"/>
      <c r="AW76" s="30"/>
      <c r="AX76" s="30"/>
    </row>
    <row r="77" spans="1:50" ht="11.25" customHeight="1">
      <c r="A77" s="1"/>
      <c r="B77" s="442"/>
      <c r="C77" s="445"/>
      <c r="D77" s="448"/>
      <c r="E77" s="451"/>
      <c r="F77" s="454"/>
      <c r="G77" s="454"/>
      <c r="H77" s="471"/>
      <c r="I77" s="473"/>
      <c r="J77" s="473"/>
      <c r="K77" s="471"/>
      <c r="L77" s="44">
        <f t="shared" ref="L77" si="55">L76-L75</f>
        <v>540</v>
      </c>
      <c r="M77" s="44"/>
      <c r="N77" s="476"/>
      <c r="O77" s="46"/>
      <c r="P77" s="45">
        <f t="shared" ref="P77" si="56">SUMIF(AB75:AB84,"有休",AC75:AC84)+SUMIF(AB75:AB84,"無給休",AC75:AC84)+SUMIF(AB75:AB84,"振休",AC75:AC84)+SUMIF(AB75:AB84,"特休",AC75:AC84)</f>
        <v>0</v>
      </c>
      <c r="Q77" s="47"/>
      <c r="R77" s="47"/>
      <c r="S77" s="47"/>
      <c r="T77" s="48"/>
      <c r="U77" s="462"/>
      <c r="V77" s="462"/>
      <c r="W77" s="36"/>
      <c r="X77" s="49"/>
      <c r="Y77" s="50"/>
      <c r="Z77" s="50"/>
      <c r="AA77" s="50"/>
      <c r="AB77" s="51"/>
      <c r="AC77" s="52"/>
      <c r="AD77" s="465"/>
      <c r="AE77" s="53"/>
      <c r="AF77" s="54"/>
      <c r="AG77" s="55"/>
      <c r="AH77" s="468"/>
      <c r="AI77" s="468"/>
      <c r="AJ77" s="54"/>
      <c r="AK77" s="1"/>
      <c r="AL77" s="438"/>
      <c r="AM77" s="438"/>
      <c r="AN77" s="438"/>
      <c r="AO77" s="438"/>
      <c r="AP77" s="438"/>
      <c r="AQ77" s="438"/>
      <c r="AR77" s="438"/>
      <c r="AS77" s="438"/>
      <c r="AT77" s="29"/>
      <c r="AU77" s="30"/>
      <c r="AV77" s="30"/>
      <c r="AW77" s="30"/>
      <c r="AX77" s="30"/>
    </row>
    <row r="78" spans="1:50" ht="11.25" customHeight="1">
      <c r="A78" s="1"/>
      <c r="B78" s="442"/>
      <c r="C78" s="445"/>
      <c r="D78" s="448"/>
      <c r="E78" s="451"/>
      <c r="F78" s="454"/>
      <c r="G78" s="454"/>
      <c r="H78" s="471"/>
      <c r="I78" s="473"/>
      <c r="J78" s="473"/>
      <c r="K78" s="471"/>
      <c r="L78" s="44">
        <f t="shared" ref="L78" si="57">ROUNDUP(L77/60,2)</f>
        <v>9</v>
      </c>
      <c r="M78" s="44"/>
      <c r="N78" s="476"/>
      <c r="O78" s="46"/>
      <c r="P78" s="46"/>
      <c r="Q78" s="47"/>
      <c r="R78" s="47"/>
      <c r="S78" s="47"/>
      <c r="T78" s="48"/>
      <c r="U78" s="462"/>
      <c r="V78" s="462"/>
      <c r="W78" s="36"/>
      <c r="X78" s="49"/>
      <c r="Y78" s="50"/>
      <c r="Z78" s="50"/>
      <c r="AA78" s="50"/>
      <c r="AB78" s="51"/>
      <c r="AC78" s="52"/>
      <c r="AD78" s="465"/>
      <c r="AE78" s="53"/>
      <c r="AF78" s="54"/>
      <c r="AG78" s="55"/>
      <c r="AH78" s="468"/>
      <c r="AI78" s="468"/>
      <c r="AJ78" s="55"/>
      <c r="AK78" s="1"/>
      <c r="AL78" s="438"/>
      <c r="AM78" s="438"/>
      <c r="AN78" s="438"/>
      <c r="AO78" s="438"/>
      <c r="AP78" s="438"/>
      <c r="AQ78" s="438"/>
      <c r="AR78" s="438"/>
      <c r="AS78" s="438"/>
      <c r="AT78" s="29"/>
      <c r="AU78" s="30"/>
      <c r="AV78" s="30"/>
      <c r="AW78" s="30"/>
      <c r="AX78" s="30"/>
    </row>
    <row r="79" spans="1:50" ht="11.25" customHeight="1">
      <c r="A79" s="1"/>
      <c r="B79" s="442"/>
      <c r="C79" s="445"/>
      <c r="D79" s="448"/>
      <c r="E79" s="451"/>
      <c r="F79" s="454"/>
      <c r="G79" s="454"/>
      <c r="H79" s="471"/>
      <c r="I79" s="473"/>
      <c r="J79" s="473"/>
      <c r="K79" s="471"/>
      <c r="L79" s="44">
        <f t="shared" ref="L79" si="58">IF(L78&gt;0,L78-HOUR(H75)-MINUTE(H75)/60,0)</f>
        <v>8</v>
      </c>
      <c r="M79" s="56">
        <f t="shared" ref="M79" si="59">TIME(L79-MOD(L79,1),MOD(L79,1)*60,0)</f>
        <v>0.33333333333333331</v>
      </c>
      <c r="N79" s="476"/>
      <c r="O79" s="45">
        <f t="shared" ref="O79" si="60">M81</f>
        <v>0</v>
      </c>
      <c r="P79" s="45">
        <f t="shared" ref="P79" si="61">SUMIF(AB75:AB84,"1.25",AC75:AC84)+SUMIF(AB75:AB84,"他時間外",AC75:AC84)+SUMIF(AB75:AB84,"1.35",AC75:AC84)</f>
        <v>0</v>
      </c>
      <c r="Q79" s="47"/>
      <c r="R79" s="47"/>
      <c r="S79" s="47"/>
      <c r="T79" s="48"/>
      <c r="U79" s="462"/>
      <c r="V79" s="462"/>
      <c r="W79" s="36"/>
      <c r="X79" s="49"/>
      <c r="Y79" s="50"/>
      <c r="Z79" s="50"/>
      <c r="AA79" s="50"/>
      <c r="AB79" s="51"/>
      <c r="AC79" s="52"/>
      <c r="AD79" s="465"/>
      <c r="AE79" s="53"/>
      <c r="AF79" s="54"/>
      <c r="AG79" s="55"/>
      <c r="AH79" s="468"/>
      <c r="AI79" s="468"/>
      <c r="AJ79" s="54"/>
      <c r="AK79" s="1"/>
      <c r="AL79" s="438"/>
      <c r="AM79" s="438"/>
      <c r="AN79" s="438"/>
      <c r="AO79" s="438"/>
      <c r="AP79" s="438"/>
      <c r="AQ79" s="438"/>
      <c r="AR79" s="438"/>
      <c r="AS79" s="438"/>
      <c r="AT79" s="29"/>
      <c r="AU79" s="30"/>
      <c r="AV79" s="30"/>
      <c r="AW79" s="30"/>
      <c r="AX79" s="30"/>
    </row>
    <row r="80" spans="1:50" ht="11.25" customHeight="1">
      <c r="A80" s="1"/>
      <c r="B80" s="442"/>
      <c r="C80" s="445"/>
      <c r="D80" s="448"/>
      <c r="E80" s="451"/>
      <c r="F80" s="454"/>
      <c r="G80" s="454"/>
      <c r="H80" s="471"/>
      <c r="I80" s="473"/>
      <c r="J80" s="473"/>
      <c r="K80" s="471"/>
      <c r="L80" s="44">
        <f t="shared" ref="L80" si="62">L79-$L$12</f>
        <v>0.25</v>
      </c>
      <c r="M80" s="44"/>
      <c r="N80" s="476"/>
      <c r="O80" s="46"/>
      <c r="P80" s="46"/>
      <c r="Q80" s="47"/>
      <c r="R80" s="47"/>
      <c r="S80" s="47"/>
      <c r="T80" s="48"/>
      <c r="U80" s="462"/>
      <c r="V80" s="462"/>
      <c r="W80" s="36"/>
      <c r="X80" s="49"/>
      <c r="Y80" s="50"/>
      <c r="Z80" s="50"/>
      <c r="AA80" s="50"/>
      <c r="AB80" s="51"/>
      <c r="AC80" s="52"/>
      <c r="AD80" s="465"/>
      <c r="AE80" s="53"/>
      <c r="AF80" s="54"/>
      <c r="AG80" s="55"/>
      <c r="AH80" s="468"/>
      <c r="AI80" s="468"/>
      <c r="AJ80" s="55"/>
      <c r="AK80" s="1"/>
      <c r="AL80" s="438"/>
      <c r="AM80" s="438"/>
      <c r="AN80" s="438"/>
      <c r="AO80" s="438"/>
      <c r="AP80" s="438"/>
      <c r="AQ80" s="438"/>
      <c r="AR80" s="438"/>
      <c r="AS80" s="438"/>
      <c r="AT80" s="29"/>
      <c r="AU80" s="30"/>
      <c r="AV80" s="30"/>
      <c r="AW80" s="30"/>
      <c r="AX80" s="30"/>
    </row>
    <row r="81" spans="1:50" ht="11.25" customHeight="1">
      <c r="A81" s="1"/>
      <c r="B81" s="442"/>
      <c r="C81" s="445"/>
      <c r="D81" s="448"/>
      <c r="E81" s="451"/>
      <c r="F81" s="454"/>
      <c r="G81" s="454"/>
      <c r="H81" s="471"/>
      <c r="I81" s="473"/>
      <c r="J81" s="473"/>
      <c r="K81" s="471"/>
      <c r="L81" s="44">
        <f t="shared" ref="L81" si="63">IF($I$3= "協力会社",0,IF(L80&gt;0,L80,0))</f>
        <v>0</v>
      </c>
      <c r="M81" s="56">
        <f t="shared" ref="M81" si="64">TIME(L81-MOD(L81,1),MOD(L81,1)*60,0)</f>
        <v>0</v>
      </c>
      <c r="N81" s="476"/>
      <c r="O81" s="46"/>
      <c r="P81" s="45">
        <f t="shared" ref="P81" si="65">SUMIF(AB75:AB84,"0.25深夜",AC75:AC84)</f>
        <v>0</v>
      </c>
      <c r="Q81" s="47"/>
      <c r="R81" s="47"/>
      <c r="S81" s="47"/>
      <c r="T81" s="48"/>
      <c r="U81" s="462"/>
      <c r="V81" s="462"/>
      <c r="W81" s="36"/>
      <c r="X81" s="49"/>
      <c r="Y81" s="50"/>
      <c r="Z81" s="50"/>
      <c r="AA81" s="50"/>
      <c r="AB81" s="51"/>
      <c r="AC81" s="52"/>
      <c r="AD81" s="465"/>
      <c r="AE81" s="53"/>
      <c r="AF81" s="54"/>
      <c r="AG81" s="55"/>
      <c r="AH81" s="468"/>
      <c r="AI81" s="468"/>
      <c r="AJ81" s="55"/>
      <c r="AK81" s="1"/>
      <c r="AL81" s="438"/>
      <c r="AM81" s="438"/>
      <c r="AN81" s="438"/>
      <c r="AO81" s="438"/>
      <c r="AP81" s="438"/>
      <c r="AQ81" s="438"/>
      <c r="AR81" s="438"/>
      <c r="AS81" s="438"/>
      <c r="AT81" s="29"/>
      <c r="AU81" s="30"/>
      <c r="AV81" s="30"/>
      <c r="AW81" s="30"/>
      <c r="AX81" s="30"/>
    </row>
    <row r="82" spans="1:50" ht="11.25" customHeight="1">
      <c r="A82" s="1"/>
      <c r="B82" s="442"/>
      <c r="C82" s="445"/>
      <c r="D82" s="448"/>
      <c r="E82" s="451"/>
      <c r="F82" s="454"/>
      <c r="G82" s="454"/>
      <c r="H82" s="471"/>
      <c r="I82" s="473"/>
      <c r="J82" s="473"/>
      <c r="K82" s="471"/>
      <c r="L82" s="44"/>
      <c r="M82" s="44"/>
      <c r="N82" s="476"/>
      <c r="O82" s="46"/>
      <c r="P82" s="46"/>
      <c r="Q82" s="47"/>
      <c r="R82" s="47"/>
      <c r="S82" s="47"/>
      <c r="T82" s="48"/>
      <c r="U82" s="462"/>
      <c r="V82" s="462"/>
      <c r="W82" s="36"/>
      <c r="X82" s="49"/>
      <c r="Y82" s="50"/>
      <c r="Z82" s="50"/>
      <c r="AA82" s="50"/>
      <c r="AB82" s="51"/>
      <c r="AC82" s="52"/>
      <c r="AD82" s="465"/>
      <c r="AE82" s="53"/>
      <c r="AF82" s="54"/>
      <c r="AG82" s="55"/>
      <c r="AH82" s="468"/>
      <c r="AI82" s="468"/>
      <c r="AJ82" s="55"/>
      <c r="AK82" s="1"/>
      <c r="AL82" s="438"/>
      <c r="AM82" s="438"/>
      <c r="AN82" s="438"/>
      <c r="AO82" s="438"/>
      <c r="AP82" s="438"/>
      <c r="AQ82" s="438"/>
      <c r="AR82" s="438"/>
      <c r="AS82" s="438"/>
      <c r="AT82" s="29"/>
      <c r="AU82" s="30"/>
      <c r="AV82" s="30"/>
      <c r="AW82" s="30"/>
      <c r="AX82" s="30"/>
    </row>
    <row r="83" spans="1:50" ht="11.25" customHeight="1">
      <c r="A83" s="1"/>
      <c r="B83" s="442"/>
      <c r="C83" s="445"/>
      <c r="D83" s="448"/>
      <c r="E83" s="451"/>
      <c r="F83" s="454"/>
      <c r="G83" s="454"/>
      <c r="H83" s="471"/>
      <c r="I83" s="473"/>
      <c r="J83" s="473"/>
      <c r="K83" s="471"/>
      <c r="L83" s="44"/>
      <c r="M83" s="44"/>
      <c r="N83" s="478"/>
      <c r="O83" s="57">
        <f t="shared" ref="O83" si="66">O75+O79</f>
        <v>0.33333333333333331</v>
      </c>
      <c r="P83" s="57">
        <f t="shared" ref="P83" si="67">SUM(P75:P79)</f>
        <v>0.33333333333333331</v>
      </c>
      <c r="Q83" s="47"/>
      <c r="R83" s="47"/>
      <c r="S83" s="47"/>
      <c r="T83" s="48"/>
      <c r="U83" s="462"/>
      <c r="V83" s="462"/>
      <c r="W83" s="36"/>
      <c r="X83" s="49"/>
      <c r="Y83" s="49"/>
      <c r="Z83" s="49"/>
      <c r="AA83" s="49"/>
      <c r="AB83" s="51"/>
      <c r="AC83" s="52"/>
      <c r="AD83" s="465"/>
      <c r="AE83" s="53"/>
      <c r="AF83" s="59"/>
      <c r="AG83" s="60"/>
      <c r="AH83" s="468"/>
      <c r="AI83" s="468"/>
      <c r="AJ83" s="55"/>
      <c r="AK83" s="1"/>
      <c r="AL83" s="438"/>
      <c r="AM83" s="438"/>
      <c r="AN83" s="438"/>
      <c r="AO83" s="438"/>
      <c r="AP83" s="438"/>
      <c r="AQ83" s="438"/>
      <c r="AR83" s="438"/>
      <c r="AS83" s="438"/>
      <c r="AT83" s="29"/>
      <c r="AU83" s="30"/>
      <c r="AV83" s="30"/>
      <c r="AW83" s="30"/>
      <c r="AX83" s="30"/>
    </row>
    <row r="84" spans="1:50" ht="11.25" customHeight="1">
      <c r="A84" s="1"/>
      <c r="B84" s="443"/>
      <c r="C84" s="446"/>
      <c r="D84" s="449"/>
      <c r="E84" s="452"/>
      <c r="F84" s="455"/>
      <c r="G84" s="455"/>
      <c r="H84" s="472"/>
      <c r="I84" s="474"/>
      <c r="J84" s="474"/>
      <c r="K84" s="472"/>
      <c r="L84" s="61"/>
      <c r="M84" s="61"/>
      <c r="N84" s="477"/>
      <c r="O84" s="62"/>
      <c r="P84" s="62"/>
      <c r="Q84" s="63"/>
      <c r="R84" s="63"/>
      <c r="S84" s="63"/>
      <c r="T84" s="64"/>
      <c r="U84" s="463"/>
      <c r="V84" s="463"/>
      <c r="W84" s="65"/>
      <c r="X84" s="66"/>
      <c r="Y84" s="67"/>
      <c r="Z84" s="67"/>
      <c r="AA84" s="67"/>
      <c r="AB84" s="68"/>
      <c r="AC84" s="69"/>
      <c r="AD84" s="466"/>
      <c r="AE84" s="70"/>
      <c r="AF84" s="71"/>
      <c r="AG84" s="72"/>
      <c r="AH84" s="469"/>
      <c r="AI84" s="469"/>
      <c r="AJ84" s="72"/>
      <c r="AK84" s="1"/>
      <c r="AL84" s="439"/>
      <c r="AM84" s="439"/>
      <c r="AN84" s="439"/>
      <c r="AO84" s="439"/>
      <c r="AP84" s="439"/>
      <c r="AQ84" s="439"/>
      <c r="AR84" s="439"/>
      <c r="AS84" s="439"/>
      <c r="AT84" s="29"/>
      <c r="AU84" s="30"/>
      <c r="AV84" s="30"/>
      <c r="AW84" s="30"/>
      <c r="AX84" s="30"/>
    </row>
    <row r="85" spans="1:50">
      <c r="A85" s="1"/>
      <c r="B85" s="441">
        <f>IF(B75="","",IF(B75+1&gt;$AB$3,"",B75+1))</f>
        <v>44659</v>
      </c>
      <c r="C85" s="444">
        <f>IF(C75="","",IF(C75+1&gt;$AB$3,"",C75+1))</f>
        <v>44659</v>
      </c>
      <c r="D85" s="447">
        <f>IF(C85="","",WEEKDAY(C85,1))</f>
        <v>6</v>
      </c>
      <c r="E85" s="450" t="str">
        <f>IF($D85="","",IF(NOT(ISERROR(MATCH($C85,祝日テーブル,0)=TRUE)),IF($D85=1,"法定","法定外"),IF($D85=1,"法定",IF($D85=7,"法定外",""))))</f>
        <v/>
      </c>
      <c r="F85" s="453">
        <v>900</v>
      </c>
      <c r="G85" s="453">
        <v>1745</v>
      </c>
      <c r="H85" s="470">
        <v>4.1666666666666664E-2</v>
      </c>
      <c r="I85" s="473"/>
      <c r="J85" s="473"/>
      <c r="K85" s="471"/>
      <c r="L85" s="32">
        <f t="shared" ref="L85" si="68">MOD(F85,100)+FLOOR(F85/100,1)*60</f>
        <v>540</v>
      </c>
      <c r="M85" s="32"/>
      <c r="N85" s="475"/>
      <c r="O85" s="33">
        <f t="shared" ref="O85" si="69">IF($I$3= "協力会社",M89,IF(L89&gt;=$L$12,$M$12,IF(L89&gt;0,M89,0)))</f>
        <v>0.32291666666666669</v>
      </c>
      <c r="P85" s="33">
        <f t="shared" ref="P85" si="70">SUMIF(AB85:AB94,"1.00",AC85:AC94)+SUMIF(AB85:AB94,"振休取得",AC85:AC94)</f>
        <v>0.32291666666666669</v>
      </c>
      <c r="Q85" s="34"/>
      <c r="R85" s="34"/>
      <c r="S85" s="34"/>
      <c r="T85" s="35"/>
      <c r="U85" s="462"/>
      <c r="V85" s="462"/>
      <c r="W85" s="36" t="s">
        <v>649</v>
      </c>
      <c r="X85" s="37" t="s">
        <v>608</v>
      </c>
      <c r="Y85" s="37"/>
      <c r="Z85" s="37" t="s">
        <v>650</v>
      </c>
      <c r="AA85" s="37"/>
      <c r="AB85" s="38" t="s">
        <v>121</v>
      </c>
      <c r="AC85" s="39">
        <v>0.32291666666666669</v>
      </c>
      <c r="AD85" s="464"/>
      <c r="AE85" s="40"/>
      <c r="AF85" s="41"/>
      <c r="AG85" s="42"/>
      <c r="AH85" s="467" t="s">
        <v>661</v>
      </c>
      <c r="AI85" s="467" t="s">
        <v>653</v>
      </c>
      <c r="AJ85" s="73"/>
      <c r="AK85" s="1"/>
      <c r="AL85" s="437"/>
      <c r="AM85" s="437"/>
      <c r="AN85" s="437"/>
      <c r="AO85" s="437"/>
      <c r="AP85" s="437"/>
      <c r="AQ85" s="437"/>
      <c r="AR85" s="437"/>
      <c r="AS85" s="437"/>
      <c r="AT85" s="29"/>
      <c r="AU85" s="30"/>
      <c r="AV85" s="30"/>
      <c r="AW85" s="30"/>
      <c r="AX85" s="30"/>
    </row>
    <row r="86" spans="1:50" ht="11.25" customHeight="1">
      <c r="A86" s="1"/>
      <c r="B86" s="442"/>
      <c r="C86" s="445"/>
      <c r="D86" s="448"/>
      <c r="E86" s="451"/>
      <c r="F86" s="454"/>
      <c r="G86" s="454"/>
      <c r="H86" s="471"/>
      <c r="I86" s="473"/>
      <c r="J86" s="473"/>
      <c r="K86" s="471"/>
      <c r="L86" s="44">
        <f t="shared" ref="L86" si="71">MOD(G85,100)+FLOOR(G85/100,1)*60</f>
        <v>1065</v>
      </c>
      <c r="M86" s="44"/>
      <c r="N86" s="476"/>
      <c r="O86" s="45"/>
      <c r="P86" s="46"/>
      <c r="Q86" s="47"/>
      <c r="R86" s="47"/>
      <c r="S86" s="47"/>
      <c r="T86" s="48"/>
      <c r="U86" s="462"/>
      <c r="V86" s="462"/>
      <c r="W86" s="36"/>
      <c r="X86" s="49"/>
      <c r="Y86" s="50"/>
      <c r="Z86" s="50"/>
      <c r="AA86" s="50"/>
      <c r="AB86" s="51"/>
      <c r="AC86" s="52"/>
      <c r="AD86" s="465"/>
      <c r="AE86" s="53"/>
      <c r="AF86" s="54"/>
      <c r="AG86" s="55"/>
      <c r="AH86" s="468"/>
      <c r="AI86" s="468"/>
      <c r="AJ86" s="55"/>
      <c r="AK86" s="1"/>
      <c r="AL86" s="438"/>
      <c r="AM86" s="438"/>
      <c r="AN86" s="438"/>
      <c r="AO86" s="438"/>
      <c r="AP86" s="438"/>
      <c r="AQ86" s="438"/>
      <c r="AR86" s="438"/>
      <c r="AS86" s="438"/>
      <c r="AT86" s="29"/>
      <c r="AU86" s="30"/>
      <c r="AV86" s="30"/>
      <c r="AW86" s="30"/>
      <c r="AX86" s="30"/>
    </row>
    <row r="87" spans="1:50" ht="11.25" customHeight="1">
      <c r="A87" s="1"/>
      <c r="B87" s="442"/>
      <c r="C87" s="445"/>
      <c r="D87" s="448"/>
      <c r="E87" s="451"/>
      <c r="F87" s="454"/>
      <c r="G87" s="454"/>
      <c r="H87" s="471"/>
      <c r="I87" s="473"/>
      <c r="J87" s="473"/>
      <c r="K87" s="471"/>
      <c r="L87" s="44">
        <f t="shared" ref="L87" si="72">L86-L85</f>
        <v>525</v>
      </c>
      <c r="M87" s="44"/>
      <c r="N87" s="476"/>
      <c r="O87" s="46"/>
      <c r="P87" s="45">
        <f t="shared" ref="P87" si="73">SUMIF(AB85:AB94,"有休",AC85:AC94)+SUMIF(AB85:AB94,"無給休",AC85:AC94)+SUMIF(AB85:AB94,"振休",AC85:AC94)+SUMIF(AB85:AB94,"特休",AC85:AC94)</f>
        <v>0</v>
      </c>
      <c r="Q87" s="47"/>
      <c r="R87" s="47"/>
      <c r="S87" s="47"/>
      <c r="T87" s="48"/>
      <c r="U87" s="462"/>
      <c r="V87" s="462"/>
      <c r="W87" s="36"/>
      <c r="X87" s="49"/>
      <c r="Y87" s="50"/>
      <c r="Z87" s="50"/>
      <c r="AA87" s="50"/>
      <c r="AB87" s="51"/>
      <c r="AC87" s="52"/>
      <c r="AD87" s="465"/>
      <c r="AE87" s="53"/>
      <c r="AF87" s="54"/>
      <c r="AG87" s="55"/>
      <c r="AH87" s="468"/>
      <c r="AI87" s="468"/>
      <c r="AJ87" s="54"/>
      <c r="AK87" s="1"/>
      <c r="AL87" s="438"/>
      <c r="AM87" s="438"/>
      <c r="AN87" s="438"/>
      <c r="AO87" s="438"/>
      <c r="AP87" s="438"/>
      <c r="AQ87" s="438"/>
      <c r="AR87" s="438"/>
      <c r="AS87" s="438"/>
      <c r="AT87" s="29"/>
      <c r="AU87" s="30"/>
      <c r="AV87" s="30"/>
      <c r="AW87" s="30"/>
      <c r="AX87" s="30"/>
    </row>
    <row r="88" spans="1:50" ht="11.25" customHeight="1">
      <c r="A88" s="1"/>
      <c r="B88" s="442"/>
      <c r="C88" s="445"/>
      <c r="D88" s="448"/>
      <c r="E88" s="451"/>
      <c r="F88" s="454"/>
      <c r="G88" s="454"/>
      <c r="H88" s="471"/>
      <c r="I88" s="473"/>
      <c r="J88" s="473"/>
      <c r="K88" s="471"/>
      <c r="L88" s="44">
        <f t="shared" ref="L88" si="74">ROUNDUP(L87/60,2)</f>
        <v>8.75</v>
      </c>
      <c r="M88" s="44"/>
      <c r="N88" s="476"/>
      <c r="O88" s="46"/>
      <c r="P88" s="46"/>
      <c r="Q88" s="47"/>
      <c r="R88" s="47"/>
      <c r="S88" s="47"/>
      <c r="T88" s="48"/>
      <c r="U88" s="462"/>
      <c r="V88" s="462"/>
      <c r="W88" s="36"/>
      <c r="X88" s="49"/>
      <c r="Y88" s="50"/>
      <c r="Z88" s="50"/>
      <c r="AA88" s="50"/>
      <c r="AB88" s="51"/>
      <c r="AC88" s="52"/>
      <c r="AD88" s="465"/>
      <c r="AE88" s="53"/>
      <c r="AF88" s="54"/>
      <c r="AG88" s="55"/>
      <c r="AH88" s="468"/>
      <c r="AI88" s="468"/>
      <c r="AJ88" s="55"/>
      <c r="AK88" s="1"/>
      <c r="AL88" s="438"/>
      <c r="AM88" s="438"/>
      <c r="AN88" s="438"/>
      <c r="AO88" s="438"/>
      <c r="AP88" s="438"/>
      <c r="AQ88" s="438"/>
      <c r="AR88" s="438"/>
      <c r="AS88" s="438"/>
      <c r="AT88" s="29"/>
      <c r="AU88" s="30"/>
      <c r="AV88" s="30"/>
      <c r="AW88" s="30"/>
      <c r="AX88" s="30"/>
    </row>
    <row r="89" spans="1:50" ht="11.25" customHeight="1">
      <c r="A89" s="1"/>
      <c r="B89" s="442"/>
      <c r="C89" s="445"/>
      <c r="D89" s="448"/>
      <c r="E89" s="451"/>
      <c r="F89" s="454"/>
      <c r="G89" s="454"/>
      <c r="H89" s="471"/>
      <c r="I89" s="473"/>
      <c r="J89" s="473"/>
      <c r="K89" s="471"/>
      <c r="L89" s="44">
        <f t="shared" ref="L89" si="75">IF(L88&gt;0,L88-HOUR(H85)-MINUTE(H85)/60,0)</f>
        <v>7.75</v>
      </c>
      <c r="M89" s="56">
        <f t="shared" ref="M89" si="76">TIME(L89-MOD(L89,1),MOD(L89,1)*60,0)</f>
        <v>0.32291666666666669</v>
      </c>
      <c r="N89" s="476"/>
      <c r="O89" s="45">
        <f t="shared" ref="O89" si="77">M91</f>
        <v>0</v>
      </c>
      <c r="P89" s="45">
        <f t="shared" ref="P89" si="78">SUMIF(AB85:AB94,"1.25",AC85:AC94)+SUMIF(AB85:AB94,"他時間外",AC85:AC94)+SUMIF(AB85:AB94,"1.35",AC85:AC94)</f>
        <v>0</v>
      </c>
      <c r="Q89" s="47"/>
      <c r="R89" s="47"/>
      <c r="S89" s="47"/>
      <c r="T89" s="48"/>
      <c r="U89" s="462"/>
      <c r="V89" s="462"/>
      <c r="W89" s="36"/>
      <c r="X89" s="49"/>
      <c r="Y89" s="50"/>
      <c r="Z89" s="50"/>
      <c r="AA89" s="50"/>
      <c r="AB89" s="51"/>
      <c r="AC89" s="52"/>
      <c r="AD89" s="465"/>
      <c r="AE89" s="53"/>
      <c r="AF89" s="54"/>
      <c r="AG89" s="55"/>
      <c r="AH89" s="468"/>
      <c r="AI89" s="468"/>
      <c r="AJ89" s="55"/>
      <c r="AK89" s="1"/>
      <c r="AL89" s="438"/>
      <c r="AM89" s="438"/>
      <c r="AN89" s="438"/>
      <c r="AO89" s="438"/>
      <c r="AP89" s="438"/>
      <c r="AQ89" s="438"/>
      <c r="AR89" s="438"/>
      <c r="AS89" s="438"/>
      <c r="AT89" s="29"/>
      <c r="AU89" s="30"/>
      <c r="AV89" s="30"/>
      <c r="AW89" s="30"/>
      <c r="AX89" s="30"/>
    </row>
    <row r="90" spans="1:50" ht="11.25" customHeight="1">
      <c r="A90" s="1"/>
      <c r="B90" s="442"/>
      <c r="C90" s="445"/>
      <c r="D90" s="448"/>
      <c r="E90" s="451"/>
      <c r="F90" s="454"/>
      <c r="G90" s="454"/>
      <c r="H90" s="471"/>
      <c r="I90" s="473"/>
      <c r="J90" s="473"/>
      <c r="K90" s="471"/>
      <c r="L90" s="44">
        <f t="shared" ref="L90" si="79">L89-$L$12</f>
        <v>0</v>
      </c>
      <c r="M90" s="44"/>
      <c r="N90" s="476"/>
      <c r="O90" s="46"/>
      <c r="P90" s="46"/>
      <c r="Q90" s="47"/>
      <c r="R90" s="47"/>
      <c r="S90" s="47"/>
      <c r="T90" s="48"/>
      <c r="U90" s="462"/>
      <c r="V90" s="462"/>
      <c r="W90" s="36"/>
      <c r="X90" s="49"/>
      <c r="Y90" s="50"/>
      <c r="Z90" s="50"/>
      <c r="AA90" s="50"/>
      <c r="AB90" s="51"/>
      <c r="AC90" s="52"/>
      <c r="AD90" s="465"/>
      <c r="AE90" s="53"/>
      <c r="AF90" s="54"/>
      <c r="AG90" s="55"/>
      <c r="AH90" s="468"/>
      <c r="AI90" s="468"/>
      <c r="AJ90" s="55"/>
      <c r="AK90" s="1"/>
      <c r="AL90" s="438"/>
      <c r="AM90" s="438"/>
      <c r="AN90" s="438"/>
      <c r="AO90" s="438"/>
      <c r="AP90" s="438"/>
      <c r="AQ90" s="438"/>
      <c r="AR90" s="438"/>
      <c r="AS90" s="438"/>
      <c r="AT90" s="29"/>
      <c r="AU90" s="30"/>
      <c r="AV90" s="30"/>
      <c r="AW90" s="30"/>
      <c r="AX90" s="30"/>
    </row>
    <row r="91" spans="1:50" ht="11.25" customHeight="1">
      <c r="A91" s="1"/>
      <c r="B91" s="442"/>
      <c r="C91" s="445"/>
      <c r="D91" s="448"/>
      <c r="E91" s="451"/>
      <c r="F91" s="454"/>
      <c r="G91" s="454"/>
      <c r="H91" s="471"/>
      <c r="I91" s="473"/>
      <c r="J91" s="473"/>
      <c r="K91" s="471"/>
      <c r="L91" s="44">
        <f t="shared" ref="L91" si="80">IF($I$3= "協力会社",0,IF(L90&gt;0,L90,0))</f>
        <v>0</v>
      </c>
      <c r="M91" s="56">
        <f t="shared" ref="M91" si="81">TIME(L91-MOD(L91,1),MOD(L91,1)*60,0)</f>
        <v>0</v>
      </c>
      <c r="N91" s="476"/>
      <c r="O91" s="46"/>
      <c r="P91" s="45">
        <f t="shared" ref="P91" si="82">SUMIF(AB85:AB94,"0.25深夜",AC85:AC94)</f>
        <v>0</v>
      </c>
      <c r="Q91" s="47"/>
      <c r="R91" s="47"/>
      <c r="S91" s="47"/>
      <c r="T91" s="48"/>
      <c r="U91" s="462"/>
      <c r="V91" s="462"/>
      <c r="W91" s="36"/>
      <c r="X91" s="49"/>
      <c r="Y91" s="50"/>
      <c r="Z91" s="50"/>
      <c r="AA91" s="50"/>
      <c r="AB91" s="51"/>
      <c r="AC91" s="52"/>
      <c r="AD91" s="465"/>
      <c r="AE91" s="53"/>
      <c r="AF91" s="54"/>
      <c r="AG91" s="55"/>
      <c r="AH91" s="468"/>
      <c r="AI91" s="468"/>
      <c r="AJ91" s="55"/>
      <c r="AK91" s="1"/>
      <c r="AL91" s="438"/>
      <c r="AM91" s="438"/>
      <c r="AN91" s="438"/>
      <c r="AO91" s="438"/>
      <c r="AP91" s="438"/>
      <c r="AQ91" s="438"/>
      <c r="AR91" s="438"/>
      <c r="AS91" s="438"/>
      <c r="AT91" s="29"/>
      <c r="AU91" s="30"/>
      <c r="AV91" s="30"/>
      <c r="AW91" s="30"/>
      <c r="AX91" s="30"/>
    </row>
    <row r="92" spans="1:50" ht="11.25" customHeight="1">
      <c r="A92" s="1"/>
      <c r="B92" s="442"/>
      <c r="C92" s="445"/>
      <c r="D92" s="448"/>
      <c r="E92" s="451"/>
      <c r="F92" s="454"/>
      <c r="G92" s="454"/>
      <c r="H92" s="471"/>
      <c r="I92" s="473"/>
      <c r="J92" s="473"/>
      <c r="K92" s="471"/>
      <c r="L92" s="44"/>
      <c r="M92" s="44"/>
      <c r="N92" s="476"/>
      <c r="O92" s="46"/>
      <c r="P92" s="46"/>
      <c r="Q92" s="47"/>
      <c r="R92" s="47"/>
      <c r="S92" s="47"/>
      <c r="T92" s="48"/>
      <c r="U92" s="462"/>
      <c r="V92" s="462"/>
      <c r="W92" s="36"/>
      <c r="X92" s="49"/>
      <c r="Y92" s="50"/>
      <c r="Z92" s="50"/>
      <c r="AA92" s="50"/>
      <c r="AB92" s="51"/>
      <c r="AC92" s="52"/>
      <c r="AD92" s="465"/>
      <c r="AE92" s="53"/>
      <c r="AF92" s="54"/>
      <c r="AG92" s="55"/>
      <c r="AH92" s="468"/>
      <c r="AI92" s="468"/>
      <c r="AJ92" s="55"/>
      <c r="AK92" s="1"/>
      <c r="AL92" s="438"/>
      <c r="AM92" s="438"/>
      <c r="AN92" s="438"/>
      <c r="AO92" s="438"/>
      <c r="AP92" s="438"/>
      <c r="AQ92" s="438"/>
      <c r="AR92" s="438"/>
      <c r="AS92" s="438"/>
      <c r="AT92" s="29"/>
      <c r="AU92" s="30"/>
      <c r="AV92" s="30"/>
      <c r="AW92" s="30"/>
      <c r="AX92" s="30"/>
    </row>
    <row r="93" spans="1:50" ht="11.25" customHeight="1">
      <c r="A93" s="1"/>
      <c r="B93" s="442"/>
      <c r="C93" s="445"/>
      <c r="D93" s="448"/>
      <c r="E93" s="451"/>
      <c r="F93" s="454"/>
      <c r="G93" s="454"/>
      <c r="H93" s="471"/>
      <c r="I93" s="473"/>
      <c r="J93" s="473"/>
      <c r="K93" s="471"/>
      <c r="L93" s="44"/>
      <c r="M93" s="44"/>
      <c r="N93" s="478"/>
      <c r="O93" s="57">
        <f t="shared" ref="O93" si="83">O85+O89</f>
        <v>0.32291666666666669</v>
      </c>
      <c r="P93" s="57">
        <f t="shared" ref="P93" si="84">SUM(P85:P89)</f>
        <v>0.32291666666666669</v>
      </c>
      <c r="Q93" s="47"/>
      <c r="R93" s="47"/>
      <c r="S93" s="47"/>
      <c r="T93" s="48"/>
      <c r="U93" s="462"/>
      <c r="V93" s="462"/>
      <c r="W93" s="36"/>
      <c r="X93" s="49"/>
      <c r="Y93" s="49"/>
      <c r="Z93" s="49"/>
      <c r="AA93" s="49"/>
      <c r="AB93" s="51"/>
      <c r="AC93" s="52"/>
      <c r="AD93" s="465"/>
      <c r="AE93" s="53"/>
      <c r="AF93" s="59"/>
      <c r="AG93" s="60"/>
      <c r="AH93" s="468"/>
      <c r="AI93" s="468"/>
      <c r="AJ93" s="55"/>
      <c r="AK93" s="1"/>
      <c r="AL93" s="438"/>
      <c r="AM93" s="438"/>
      <c r="AN93" s="438"/>
      <c r="AO93" s="438"/>
      <c r="AP93" s="438"/>
      <c r="AQ93" s="438"/>
      <c r="AR93" s="438"/>
      <c r="AS93" s="438"/>
      <c r="AT93" s="29"/>
      <c r="AU93" s="30"/>
      <c r="AV93" s="30"/>
      <c r="AW93" s="30"/>
      <c r="AX93" s="30"/>
    </row>
    <row r="94" spans="1:50" ht="11.25" customHeight="1">
      <c r="A94" s="1"/>
      <c r="B94" s="443"/>
      <c r="C94" s="446"/>
      <c r="D94" s="449"/>
      <c r="E94" s="452"/>
      <c r="F94" s="455"/>
      <c r="G94" s="455"/>
      <c r="H94" s="472"/>
      <c r="I94" s="474"/>
      <c r="J94" s="474"/>
      <c r="K94" s="472"/>
      <c r="L94" s="61"/>
      <c r="M94" s="61"/>
      <c r="N94" s="477"/>
      <c r="O94" s="62"/>
      <c r="P94" s="62"/>
      <c r="Q94" s="63"/>
      <c r="R94" s="63"/>
      <c r="S94" s="63"/>
      <c r="T94" s="64"/>
      <c r="U94" s="463"/>
      <c r="V94" s="463"/>
      <c r="W94" s="65"/>
      <c r="X94" s="66"/>
      <c r="Y94" s="67"/>
      <c r="Z94" s="67"/>
      <c r="AA94" s="67"/>
      <c r="AB94" s="68"/>
      <c r="AC94" s="69"/>
      <c r="AD94" s="466"/>
      <c r="AE94" s="70"/>
      <c r="AF94" s="71"/>
      <c r="AG94" s="72"/>
      <c r="AH94" s="469"/>
      <c r="AI94" s="469"/>
      <c r="AJ94" s="72"/>
      <c r="AK94" s="1"/>
      <c r="AL94" s="439"/>
      <c r="AM94" s="439"/>
      <c r="AN94" s="439"/>
      <c r="AO94" s="439"/>
      <c r="AP94" s="439"/>
      <c r="AQ94" s="439"/>
      <c r="AR94" s="439"/>
      <c r="AS94" s="439"/>
      <c r="AT94" s="29"/>
      <c r="AU94" s="30"/>
      <c r="AV94" s="30"/>
      <c r="AW94" s="30"/>
      <c r="AX94" s="30"/>
    </row>
    <row r="95" spans="1:50">
      <c r="A95" s="1"/>
      <c r="B95" s="441">
        <f>IF(B85="","",IF(B85+1&gt;$AB$3,"",B85+1))</f>
        <v>44660</v>
      </c>
      <c r="C95" s="444">
        <f>IF(C85="","",IF(C85+1&gt;$AB$3,"",C85+1))</f>
        <v>44660</v>
      </c>
      <c r="D95" s="447">
        <f>IF(C95="","",WEEKDAY(C95,1))</f>
        <v>7</v>
      </c>
      <c r="E95" s="450" t="str">
        <f>IF($D95="","",IF(NOT(ISERROR(MATCH($C95,祝日テーブル,0)=TRUE)),IF($D95=1,"法定","法定外"),IF($D95=1,"法定",IF($D95=7,"法定外",""))))</f>
        <v>法定外</v>
      </c>
      <c r="F95" s="453"/>
      <c r="G95" s="453"/>
      <c r="H95" s="470">
        <v>4.1666666666666664E-2</v>
      </c>
      <c r="I95" s="473"/>
      <c r="J95" s="473"/>
      <c r="K95" s="471"/>
      <c r="L95" s="32">
        <f t="shared" ref="L95" si="85">MOD(F95,100)+FLOOR(F95/100,1)*60</f>
        <v>0</v>
      </c>
      <c r="M95" s="32"/>
      <c r="N95" s="475"/>
      <c r="O95" s="33">
        <f t="shared" ref="O95" si="86">IF($I$3= "協力会社",M99,IF(L99&gt;=$L$12,$M$12,IF(L99&gt;0,M99,0)))</f>
        <v>0</v>
      </c>
      <c r="P95" s="33">
        <f t="shared" ref="P95" si="87">SUMIF(AB95:AB104,"1.00",AC95:AC104)+SUMIF(AB95:AB104,"振休取得",AC95:AC104)</f>
        <v>0</v>
      </c>
      <c r="Q95" s="34"/>
      <c r="R95" s="34"/>
      <c r="S95" s="34"/>
      <c r="T95" s="35"/>
      <c r="U95" s="462"/>
      <c r="V95" s="462"/>
      <c r="W95" s="36"/>
      <c r="X95" s="37"/>
      <c r="Y95" s="37"/>
      <c r="Z95" s="37"/>
      <c r="AA95" s="37"/>
      <c r="AB95" s="38"/>
      <c r="AC95" s="39"/>
      <c r="AD95" s="464"/>
      <c r="AE95" s="40"/>
      <c r="AF95" s="41"/>
      <c r="AG95" s="42"/>
      <c r="AH95" s="467"/>
      <c r="AI95" s="467"/>
      <c r="AJ95" s="73"/>
      <c r="AK95" s="1"/>
      <c r="AL95" s="437"/>
      <c r="AM95" s="437"/>
      <c r="AN95" s="437"/>
      <c r="AO95" s="437"/>
      <c r="AP95" s="437"/>
      <c r="AQ95" s="437"/>
      <c r="AR95" s="437"/>
      <c r="AS95" s="437"/>
      <c r="AT95" s="29"/>
      <c r="AU95" s="30"/>
      <c r="AV95" s="30"/>
      <c r="AW95" s="30"/>
      <c r="AX95" s="30"/>
    </row>
    <row r="96" spans="1:50" ht="11.25" customHeight="1">
      <c r="A96" s="1"/>
      <c r="B96" s="442"/>
      <c r="C96" s="445"/>
      <c r="D96" s="448"/>
      <c r="E96" s="451"/>
      <c r="F96" s="454"/>
      <c r="G96" s="454"/>
      <c r="H96" s="471"/>
      <c r="I96" s="473"/>
      <c r="J96" s="473"/>
      <c r="K96" s="471"/>
      <c r="L96" s="44">
        <f t="shared" ref="L96" si="88">MOD(G95,100)+FLOOR(G95/100,1)*60</f>
        <v>0</v>
      </c>
      <c r="M96" s="44"/>
      <c r="N96" s="476"/>
      <c r="O96" s="45"/>
      <c r="P96" s="46"/>
      <c r="Q96" s="47"/>
      <c r="R96" s="47"/>
      <c r="S96" s="47"/>
      <c r="T96" s="48"/>
      <c r="U96" s="462"/>
      <c r="V96" s="462"/>
      <c r="W96" s="36"/>
      <c r="X96" s="49"/>
      <c r="Y96" s="50"/>
      <c r="Z96" s="50"/>
      <c r="AA96" s="50"/>
      <c r="AB96" s="51"/>
      <c r="AC96" s="52"/>
      <c r="AD96" s="465"/>
      <c r="AE96" s="53"/>
      <c r="AF96" s="54"/>
      <c r="AG96" s="55"/>
      <c r="AH96" s="468"/>
      <c r="AI96" s="468"/>
      <c r="AJ96" s="55"/>
      <c r="AK96" s="1"/>
      <c r="AL96" s="438"/>
      <c r="AM96" s="438"/>
      <c r="AN96" s="438"/>
      <c r="AO96" s="438"/>
      <c r="AP96" s="438"/>
      <c r="AQ96" s="438"/>
      <c r="AR96" s="438"/>
      <c r="AS96" s="438"/>
      <c r="AT96" s="29"/>
      <c r="AU96" s="30"/>
      <c r="AV96" s="30"/>
      <c r="AW96" s="30"/>
      <c r="AX96" s="30"/>
    </row>
    <row r="97" spans="1:50" ht="11.25" customHeight="1">
      <c r="A97" s="1"/>
      <c r="B97" s="442"/>
      <c r="C97" s="445"/>
      <c r="D97" s="448"/>
      <c r="E97" s="451"/>
      <c r="F97" s="454"/>
      <c r="G97" s="454"/>
      <c r="H97" s="471"/>
      <c r="I97" s="473"/>
      <c r="J97" s="473"/>
      <c r="K97" s="471"/>
      <c r="L97" s="44">
        <f t="shared" ref="L97" si="89">L96-L95</f>
        <v>0</v>
      </c>
      <c r="M97" s="44"/>
      <c r="N97" s="476"/>
      <c r="O97" s="46"/>
      <c r="P97" s="45">
        <f t="shared" ref="P97" si="90">SUMIF(AB95:AB104,"有休",AC95:AC104)+SUMIF(AB95:AB104,"無給休",AC95:AC104)+SUMIF(AB95:AB104,"振休",AC95:AC104)+SUMIF(AB95:AB104,"特休",AC95:AC104)</f>
        <v>0</v>
      </c>
      <c r="Q97" s="47"/>
      <c r="R97" s="47"/>
      <c r="S97" s="47"/>
      <c r="T97" s="48"/>
      <c r="U97" s="462"/>
      <c r="V97" s="462"/>
      <c r="W97" s="36"/>
      <c r="X97" s="49"/>
      <c r="Y97" s="50"/>
      <c r="Z97" s="50"/>
      <c r="AA97" s="50"/>
      <c r="AB97" s="51"/>
      <c r="AC97" s="52"/>
      <c r="AD97" s="465"/>
      <c r="AE97" s="53"/>
      <c r="AF97" s="54"/>
      <c r="AG97" s="55"/>
      <c r="AH97" s="468"/>
      <c r="AI97" s="468"/>
      <c r="AJ97" s="54"/>
      <c r="AK97" s="1"/>
      <c r="AL97" s="438"/>
      <c r="AM97" s="438"/>
      <c r="AN97" s="438"/>
      <c r="AO97" s="438"/>
      <c r="AP97" s="438"/>
      <c r="AQ97" s="438"/>
      <c r="AR97" s="438"/>
      <c r="AS97" s="438"/>
      <c r="AT97" s="29"/>
      <c r="AU97" s="30"/>
      <c r="AV97" s="30"/>
      <c r="AW97" s="30"/>
      <c r="AX97" s="30"/>
    </row>
    <row r="98" spans="1:50" ht="11.25" customHeight="1">
      <c r="A98" s="1"/>
      <c r="B98" s="442"/>
      <c r="C98" s="445"/>
      <c r="D98" s="448"/>
      <c r="E98" s="451"/>
      <c r="F98" s="454"/>
      <c r="G98" s="454"/>
      <c r="H98" s="471"/>
      <c r="I98" s="473"/>
      <c r="J98" s="473"/>
      <c r="K98" s="471"/>
      <c r="L98" s="44">
        <f t="shared" ref="L98" si="91">ROUNDUP(L97/60,2)</f>
        <v>0</v>
      </c>
      <c r="M98" s="44"/>
      <c r="N98" s="476"/>
      <c r="O98" s="46"/>
      <c r="P98" s="46"/>
      <c r="Q98" s="47"/>
      <c r="R98" s="47"/>
      <c r="S98" s="47"/>
      <c r="T98" s="48"/>
      <c r="U98" s="462"/>
      <c r="V98" s="462"/>
      <c r="W98" s="36"/>
      <c r="X98" s="49"/>
      <c r="Y98" s="50"/>
      <c r="Z98" s="50"/>
      <c r="AA98" s="50"/>
      <c r="AB98" s="51"/>
      <c r="AC98" s="52"/>
      <c r="AD98" s="465"/>
      <c r="AE98" s="53"/>
      <c r="AF98" s="54"/>
      <c r="AG98" s="55"/>
      <c r="AH98" s="468"/>
      <c r="AI98" s="468"/>
      <c r="AJ98" s="55"/>
      <c r="AK98" s="1"/>
      <c r="AL98" s="438"/>
      <c r="AM98" s="438"/>
      <c r="AN98" s="438"/>
      <c r="AO98" s="438"/>
      <c r="AP98" s="438"/>
      <c r="AQ98" s="438"/>
      <c r="AR98" s="438"/>
      <c r="AS98" s="438"/>
      <c r="AT98" s="29"/>
      <c r="AU98" s="30"/>
      <c r="AV98" s="30"/>
      <c r="AW98" s="30"/>
      <c r="AX98" s="30"/>
    </row>
    <row r="99" spans="1:50" ht="11.25" customHeight="1">
      <c r="A99" s="1"/>
      <c r="B99" s="442"/>
      <c r="C99" s="445"/>
      <c r="D99" s="448"/>
      <c r="E99" s="451"/>
      <c r="F99" s="454"/>
      <c r="G99" s="454"/>
      <c r="H99" s="471"/>
      <c r="I99" s="473"/>
      <c r="J99" s="473"/>
      <c r="K99" s="471"/>
      <c r="L99" s="44">
        <f t="shared" ref="L99" si="92">IF(L98&gt;0,L98-HOUR(H95)-MINUTE(H95)/60,0)</f>
        <v>0</v>
      </c>
      <c r="M99" s="56">
        <f t="shared" ref="M99" si="93">TIME(L99-MOD(L99,1),MOD(L99,1)*60,0)</f>
        <v>0</v>
      </c>
      <c r="N99" s="476"/>
      <c r="O99" s="45">
        <f t="shared" ref="O99" si="94">M101</f>
        <v>0</v>
      </c>
      <c r="P99" s="45">
        <f t="shared" ref="P99" si="95">SUMIF(AB95:AB104,"1.25",AC95:AC104)+SUMIF(AB95:AB104,"他時間外",AC95:AC104)+SUMIF(AB95:AB104,"1.35",AC95:AC104)</f>
        <v>0</v>
      </c>
      <c r="Q99" s="47"/>
      <c r="R99" s="47"/>
      <c r="S99" s="47"/>
      <c r="T99" s="48"/>
      <c r="U99" s="462"/>
      <c r="V99" s="462"/>
      <c r="W99" s="36"/>
      <c r="X99" s="49"/>
      <c r="Y99" s="50"/>
      <c r="Z99" s="50"/>
      <c r="AA99" s="50"/>
      <c r="AB99" s="51"/>
      <c r="AC99" s="52"/>
      <c r="AD99" s="465"/>
      <c r="AE99" s="53"/>
      <c r="AF99" s="54"/>
      <c r="AG99" s="55"/>
      <c r="AH99" s="468"/>
      <c r="AI99" s="468"/>
      <c r="AJ99" s="55"/>
      <c r="AK99" s="1"/>
      <c r="AL99" s="438"/>
      <c r="AM99" s="438"/>
      <c r="AN99" s="438"/>
      <c r="AO99" s="438"/>
      <c r="AP99" s="438"/>
      <c r="AQ99" s="438"/>
      <c r="AR99" s="438"/>
      <c r="AS99" s="438"/>
      <c r="AT99" s="29"/>
      <c r="AU99" s="30"/>
      <c r="AV99" s="30"/>
      <c r="AW99" s="30"/>
      <c r="AX99" s="30"/>
    </row>
    <row r="100" spans="1:50" ht="11.25" customHeight="1">
      <c r="A100" s="1"/>
      <c r="B100" s="442"/>
      <c r="C100" s="445"/>
      <c r="D100" s="448"/>
      <c r="E100" s="451"/>
      <c r="F100" s="454"/>
      <c r="G100" s="454"/>
      <c r="H100" s="471"/>
      <c r="I100" s="473"/>
      <c r="J100" s="473"/>
      <c r="K100" s="471"/>
      <c r="L100" s="44">
        <f t="shared" ref="L100" si="96">L99-$L$12</f>
        <v>-7.75</v>
      </c>
      <c r="M100" s="44"/>
      <c r="N100" s="476"/>
      <c r="O100" s="46"/>
      <c r="P100" s="46"/>
      <c r="Q100" s="47"/>
      <c r="R100" s="47"/>
      <c r="S100" s="47"/>
      <c r="T100" s="48"/>
      <c r="U100" s="462"/>
      <c r="V100" s="462"/>
      <c r="W100" s="36"/>
      <c r="X100" s="49"/>
      <c r="Y100" s="50"/>
      <c r="Z100" s="50"/>
      <c r="AA100" s="50"/>
      <c r="AB100" s="51"/>
      <c r="AC100" s="52"/>
      <c r="AD100" s="465"/>
      <c r="AE100" s="53"/>
      <c r="AF100" s="54"/>
      <c r="AG100" s="55"/>
      <c r="AH100" s="468"/>
      <c r="AI100" s="468"/>
      <c r="AJ100" s="55"/>
      <c r="AK100" s="1"/>
      <c r="AL100" s="438"/>
      <c r="AM100" s="438"/>
      <c r="AN100" s="438"/>
      <c r="AO100" s="438"/>
      <c r="AP100" s="438"/>
      <c r="AQ100" s="438"/>
      <c r="AR100" s="438"/>
      <c r="AS100" s="438"/>
      <c r="AT100" s="29"/>
      <c r="AU100" s="30"/>
      <c r="AV100" s="30"/>
      <c r="AW100" s="30"/>
      <c r="AX100" s="30"/>
    </row>
    <row r="101" spans="1:50" ht="11.25" customHeight="1">
      <c r="A101" s="1"/>
      <c r="B101" s="442"/>
      <c r="C101" s="445"/>
      <c r="D101" s="448"/>
      <c r="E101" s="451"/>
      <c r="F101" s="454"/>
      <c r="G101" s="454"/>
      <c r="H101" s="471"/>
      <c r="I101" s="473"/>
      <c r="J101" s="473"/>
      <c r="K101" s="471"/>
      <c r="L101" s="44">
        <f t="shared" ref="L101" si="97">IF($I$3= "協力会社",0,IF(L100&gt;0,L100,0))</f>
        <v>0</v>
      </c>
      <c r="M101" s="56">
        <f t="shared" ref="M101" si="98">TIME(L101-MOD(L101,1),MOD(L101,1)*60,0)</f>
        <v>0</v>
      </c>
      <c r="N101" s="476"/>
      <c r="O101" s="46"/>
      <c r="P101" s="45">
        <f t="shared" ref="P101" si="99">SUMIF(AB95:AB104,"0.25深夜",AC95:AC104)</f>
        <v>0</v>
      </c>
      <c r="Q101" s="47"/>
      <c r="R101" s="47"/>
      <c r="S101" s="47"/>
      <c r="T101" s="48"/>
      <c r="U101" s="462"/>
      <c r="V101" s="462"/>
      <c r="W101" s="36"/>
      <c r="X101" s="49"/>
      <c r="Y101" s="50"/>
      <c r="Z101" s="50"/>
      <c r="AA101" s="50"/>
      <c r="AB101" s="51"/>
      <c r="AC101" s="52"/>
      <c r="AD101" s="465"/>
      <c r="AE101" s="53"/>
      <c r="AF101" s="54"/>
      <c r="AG101" s="55"/>
      <c r="AH101" s="468"/>
      <c r="AI101" s="468"/>
      <c r="AJ101" s="55"/>
      <c r="AK101" s="1"/>
      <c r="AL101" s="438"/>
      <c r="AM101" s="438"/>
      <c r="AN101" s="438"/>
      <c r="AO101" s="438"/>
      <c r="AP101" s="438"/>
      <c r="AQ101" s="438"/>
      <c r="AR101" s="438"/>
      <c r="AS101" s="438"/>
      <c r="AT101" s="29"/>
      <c r="AU101" s="30"/>
      <c r="AV101" s="30"/>
      <c r="AW101" s="30"/>
      <c r="AX101" s="30"/>
    </row>
    <row r="102" spans="1:50" ht="11.25" customHeight="1">
      <c r="A102" s="1"/>
      <c r="B102" s="442"/>
      <c r="C102" s="445"/>
      <c r="D102" s="448"/>
      <c r="E102" s="451"/>
      <c r="F102" s="454"/>
      <c r="G102" s="454"/>
      <c r="H102" s="471"/>
      <c r="I102" s="473"/>
      <c r="J102" s="473"/>
      <c r="K102" s="471"/>
      <c r="L102" s="44"/>
      <c r="M102" s="44"/>
      <c r="N102" s="476"/>
      <c r="O102" s="46"/>
      <c r="P102" s="46"/>
      <c r="Q102" s="47"/>
      <c r="R102" s="47"/>
      <c r="S102" s="47"/>
      <c r="T102" s="48"/>
      <c r="U102" s="462"/>
      <c r="V102" s="462"/>
      <c r="W102" s="36"/>
      <c r="X102" s="49"/>
      <c r="Y102" s="50"/>
      <c r="Z102" s="50"/>
      <c r="AA102" s="50"/>
      <c r="AB102" s="51"/>
      <c r="AC102" s="52"/>
      <c r="AD102" s="465"/>
      <c r="AE102" s="53"/>
      <c r="AF102" s="54"/>
      <c r="AG102" s="55"/>
      <c r="AH102" s="468"/>
      <c r="AI102" s="468"/>
      <c r="AJ102" s="55"/>
      <c r="AK102" s="1"/>
      <c r="AL102" s="438"/>
      <c r="AM102" s="438"/>
      <c r="AN102" s="438"/>
      <c r="AO102" s="438"/>
      <c r="AP102" s="438"/>
      <c r="AQ102" s="438"/>
      <c r="AR102" s="438"/>
      <c r="AS102" s="438"/>
      <c r="AT102" s="29"/>
      <c r="AU102" s="30"/>
      <c r="AV102" s="30"/>
      <c r="AW102" s="30"/>
      <c r="AX102" s="30"/>
    </row>
    <row r="103" spans="1:50" ht="11.25" customHeight="1">
      <c r="A103" s="1"/>
      <c r="B103" s="442"/>
      <c r="C103" s="445"/>
      <c r="D103" s="448"/>
      <c r="E103" s="451"/>
      <c r="F103" s="454"/>
      <c r="G103" s="454"/>
      <c r="H103" s="471"/>
      <c r="I103" s="473"/>
      <c r="J103" s="473"/>
      <c r="K103" s="471"/>
      <c r="L103" s="44"/>
      <c r="M103" s="44"/>
      <c r="N103" s="478"/>
      <c r="O103" s="57">
        <f t="shared" ref="O103" si="100">O95+O99</f>
        <v>0</v>
      </c>
      <c r="P103" s="57">
        <f t="shared" ref="P103" si="101">SUM(P95:P99)</f>
        <v>0</v>
      </c>
      <c r="Q103" s="47"/>
      <c r="R103" s="47"/>
      <c r="S103" s="47"/>
      <c r="T103" s="48"/>
      <c r="U103" s="462"/>
      <c r="V103" s="462"/>
      <c r="W103" s="36"/>
      <c r="X103" s="49"/>
      <c r="Y103" s="49"/>
      <c r="Z103" s="49"/>
      <c r="AA103" s="49"/>
      <c r="AB103" s="51"/>
      <c r="AC103" s="52"/>
      <c r="AD103" s="465"/>
      <c r="AE103" s="53"/>
      <c r="AF103" s="59"/>
      <c r="AG103" s="60"/>
      <c r="AH103" s="468"/>
      <c r="AI103" s="468"/>
      <c r="AJ103" s="55"/>
      <c r="AK103" s="1"/>
      <c r="AL103" s="438"/>
      <c r="AM103" s="438"/>
      <c r="AN103" s="438"/>
      <c r="AO103" s="438"/>
      <c r="AP103" s="438"/>
      <c r="AQ103" s="438"/>
      <c r="AR103" s="438"/>
      <c r="AS103" s="438"/>
      <c r="AT103" s="29"/>
      <c r="AU103" s="30"/>
      <c r="AV103" s="30"/>
      <c r="AW103" s="30"/>
      <c r="AX103" s="30"/>
    </row>
    <row r="104" spans="1:50" ht="11.25" customHeight="1">
      <c r="A104" s="1"/>
      <c r="B104" s="443"/>
      <c r="C104" s="446"/>
      <c r="D104" s="449"/>
      <c r="E104" s="452"/>
      <c r="F104" s="455"/>
      <c r="G104" s="455"/>
      <c r="H104" s="472"/>
      <c r="I104" s="474"/>
      <c r="J104" s="474"/>
      <c r="K104" s="472"/>
      <c r="L104" s="61"/>
      <c r="M104" s="61"/>
      <c r="N104" s="477"/>
      <c r="O104" s="62"/>
      <c r="P104" s="62"/>
      <c r="Q104" s="63"/>
      <c r="R104" s="63"/>
      <c r="S104" s="63"/>
      <c r="T104" s="64"/>
      <c r="U104" s="463"/>
      <c r="V104" s="463"/>
      <c r="W104" s="65"/>
      <c r="X104" s="66"/>
      <c r="Y104" s="67"/>
      <c r="Z104" s="67"/>
      <c r="AA104" s="67"/>
      <c r="AB104" s="68"/>
      <c r="AC104" s="69"/>
      <c r="AD104" s="466"/>
      <c r="AE104" s="70"/>
      <c r="AF104" s="71"/>
      <c r="AG104" s="72"/>
      <c r="AH104" s="469"/>
      <c r="AI104" s="469"/>
      <c r="AJ104" s="72"/>
      <c r="AK104" s="1"/>
      <c r="AL104" s="439"/>
      <c r="AM104" s="439"/>
      <c r="AN104" s="439"/>
      <c r="AO104" s="439"/>
      <c r="AP104" s="439"/>
      <c r="AQ104" s="439"/>
      <c r="AR104" s="439"/>
      <c r="AS104" s="439"/>
      <c r="AT104" s="29"/>
      <c r="AU104" s="30"/>
      <c r="AV104" s="30"/>
      <c r="AW104" s="30"/>
      <c r="AX104" s="30"/>
    </row>
    <row r="105" spans="1:50" ht="11.25" customHeight="1">
      <c r="A105" s="1"/>
      <c r="B105" s="441">
        <f>IF(B95="","",IF(B95+1&gt;$AB$3,"",B95+1))</f>
        <v>44661</v>
      </c>
      <c r="C105" s="444">
        <f>IF(C95="","",IF(C95+1&gt;$AB$3,"",C95+1))</f>
        <v>44661</v>
      </c>
      <c r="D105" s="447">
        <f>IF(C105="","",WEEKDAY(C105,1))</f>
        <v>1</v>
      </c>
      <c r="E105" s="450" t="str">
        <f>IF($D105="","",IF(NOT(ISERROR(MATCH($C105,祝日テーブル,0)=TRUE)),IF($D105=1,"法定","法定外"),IF($D105=1,"法定",IF($D105=7,"法定外",""))))</f>
        <v>法定</v>
      </c>
      <c r="F105" s="453"/>
      <c r="G105" s="453"/>
      <c r="H105" s="470">
        <v>4.1666666666666664E-2</v>
      </c>
      <c r="I105" s="473"/>
      <c r="J105" s="473"/>
      <c r="K105" s="471"/>
      <c r="L105" s="32">
        <f t="shared" ref="L105" si="102">MOD(F105,100)+FLOOR(F105/100,1)*60</f>
        <v>0</v>
      </c>
      <c r="M105" s="32"/>
      <c r="N105" s="475"/>
      <c r="O105" s="33">
        <f t="shared" ref="O105" si="103">IF($I$3= "協力会社",M109,IF(L109&gt;=$L$12,$M$12,IF(L109&gt;0,M109,0)))</f>
        <v>0</v>
      </c>
      <c r="P105" s="33">
        <f t="shared" ref="P105" si="104">SUMIF(AB105:AB114,"1.00",AC105:AC114)+SUMIF(AB105:AB114,"振休取得",AC105:AC114)</f>
        <v>0</v>
      </c>
      <c r="Q105" s="34"/>
      <c r="R105" s="34"/>
      <c r="S105" s="34"/>
      <c r="T105" s="35"/>
      <c r="U105" s="462"/>
      <c r="V105" s="462"/>
      <c r="W105" s="36"/>
      <c r="X105" s="37"/>
      <c r="Y105" s="37"/>
      <c r="Z105" s="37"/>
      <c r="AA105" s="37"/>
      <c r="AB105" s="38"/>
      <c r="AC105" s="39"/>
      <c r="AD105" s="464"/>
      <c r="AE105" s="40"/>
      <c r="AF105" s="41"/>
      <c r="AG105" s="42"/>
      <c r="AH105" s="467"/>
      <c r="AI105" s="467"/>
      <c r="AJ105" s="73"/>
      <c r="AK105" s="1"/>
      <c r="AL105" s="437"/>
      <c r="AM105" s="437"/>
      <c r="AN105" s="437"/>
      <c r="AO105" s="437"/>
      <c r="AP105" s="437"/>
      <c r="AQ105" s="437"/>
      <c r="AR105" s="437"/>
      <c r="AS105" s="437"/>
      <c r="AT105" s="29"/>
      <c r="AU105" s="30"/>
      <c r="AV105" s="30"/>
      <c r="AW105" s="30"/>
      <c r="AX105" s="30"/>
    </row>
    <row r="106" spans="1:50" ht="11.25" customHeight="1">
      <c r="A106" s="1"/>
      <c r="B106" s="442"/>
      <c r="C106" s="445"/>
      <c r="D106" s="448"/>
      <c r="E106" s="451"/>
      <c r="F106" s="454"/>
      <c r="G106" s="454"/>
      <c r="H106" s="471"/>
      <c r="I106" s="473"/>
      <c r="J106" s="473"/>
      <c r="K106" s="471"/>
      <c r="L106" s="44">
        <f t="shared" ref="L106" si="105">MOD(G105,100)+FLOOR(G105/100,1)*60</f>
        <v>0</v>
      </c>
      <c r="M106" s="44"/>
      <c r="N106" s="476"/>
      <c r="O106" s="45"/>
      <c r="P106" s="46"/>
      <c r="Q106" s="47"/>
      <c r="R106" s="47"/>
      <c r="S106" s="47"/>
      <c r="T106" s="48"/>
      <c r="U106" s="462"/>
      <c r="V106" s="462"/>
      <c r="W106" s="36"/>
      <c r="X106" s="49"/>
      <c r="Y106" s="50"/>
      <c r="Z106" s="50"/>
      <c r="AA106" s="50"/>
      <c r="AB106" s="51"/>
      <c r="AC106" s="52"/>
      <c r="AD106" s="465"/>
      <c r="AE106" s="53"/>
      <c r="AF106" s="54"/>
      <c r="AG106" s="55"/>
      <c r="AH106" s="468"/>
      <c r="AI106" s="468"/>
      <c r="AJ106" s="55"/>
      <c r="AK106" s="1"/>
      <c r="AL106" s="438"/>
      <c r="AM106" s="438"/>
      <c r="AN106" s="438"/>
      <c r="AO106" s="438"/>
      <c r="AP106" s="438"/>
      <c r="AQ106" s="438"/>
      <c r="AR106" s="438"/>
      <c r="AS106" s="438"/>
      <c r="AT106" s="29"/>
      <c r="AU106" s="30"/>
      <c r="AV106" s="30"/>
      <c r="AW106" s="30"/>
      <c r="AX106" s="30"/>
    </row>
    <row r="107" spans="1:50" ht="11.25" customHeight="1">
      <c r="A107" s="1"/>
      <c r="B107" s="442"/>
      <c r="C107" s="445"/>
      <c r="D107" s="448"/>
      <c r="E107" s="451"/>
      <c r="F107" s="454"/>
      <c r="G107" s="454"/>
      <c r="H107" s="471"/>
      <c r="I107" s="473"/>
      <c r="J107" s="473"/>
      <c r="K107" s="471"/>
      <c r="L107" s="44">
        <f t="shared" ref="L107" si="106">L106-L105</f>
        <v>0</v>
      </c>
      <c r="M107" s="44"/>
      <c r="N107" s="476"/>
      <c r="O107" s="46"/>
      <c r="P107" s="45">
        <f t="shared" ref="P107" si="107">SUMIF(AB105:AB114,"有休",AC105:AC114)+SUMIF(AB105:AB114,"無給休",AC105:AC114)+SUMIF(AB105:AB114,"振休",AC105:AC114)+SUMIF(AB105:AB114,"特休",AC105:AC114)</f>
        <v>0</v>
      </c>
      <c r="Q107" s="47"/>
      <c r="R107" s="47"/>
      <c r="S107" s="47"/>
      <c r="T107" s="48"/>
      <c r="U107" s="462"/>
      <c r="V107" s="462"/>
      <c r="W107" s="36"/>
      <c r="X107" s="49"/>
      <c r="Y107" s="50"/>
      <c r="Z107" s="50"/>
      <c r="AA107" s="50"/>
      <c r="AB107" s="51"/>
      <c r="AC107" s="52"/>
      <c r="AD107" s="465"/>
      <c r="AE107" s="53"/>
      <c r="AF107" s="54"/>
      <c r="AG107" s="55"/>
      <c r="AH107" s="468"/>
      <c r="AI107" s="468"/>
      <c r="AJ107" s="54"/>
      <c r="AK107" s="1"/>
      <c r="AL107" s="438"/>
      <c r="AM107" s="438"/>
      <c r="AN107" s="438"/>
      <c r="AO107" s="438"/>
      <c r="AP107" s="438"/>
      <c r="AQ107" s="438"/>
      <c r="AR107" s="438"/>
      <c r="AS107" s="438"/>
      <c r="AT107" s="29"/>
      <c r="AU107" s="30"/>
      <c r="AV107" s="30"/>
      <c r="AW107" s="30"/>
      <c r="AX107" s="30"/>
    </row>
    <row r="108" spans="1:50" ht="11.25" customHeight="1">
      <c r="A108" s="1"/>
      <c r="B108" s="442"/>
      <c r="C108" s="445"/>
      <c r="D108" s="448"/>
      <c r="E108" s="451"/>
      <c r="F108" s="454"/>
      <c r="G108" s="454"/>
      <c r="H108" s="471"/>
      <c r="I108" s="473"/>
      <c r="J108" s="473"/>
      <c r="K108" s="471"/>
      <c r="L108" s="44">
        <f t="shared" ref="L108" si="108">ROUNDUP(L107/60,2)</f>
        <v>0</v>
      </c>
      <c r="M108" s="44"/>
      <c r="N108" s="476"/>
      <c r="O108" s="46"/>
      <c r="P108" s="46"/>
      <c r="Q108" s="47"/>
      <c r="R108" s="47"/>
      <c r="S108" s="47"/>
      <c r="T108" s="48"/>
      <c r="U108" s="462"/>
      <c r="V108" s="462"/>
      <c r="W108" s="36"/>
      <c r="X108" s="49"/>
      <c r="Y108" s="50"/>
      <c r="Z108" s="50"/>
      <c r="AA108" s="50"/>
      <c r="AB108" s="51"/>
      <c r="AC108" s="52"/>
      <c r="AD108" s="465"/>
      <c r="AE108" s="53"/>
      <c r="AF108" s="54"/>
      <c r="AG108" s="55"/>
      <c r="AH108" s="468"/>
      <c r="AI108" s="468"/>
      <c r="AJ108" s="55"/>
      <c r="AK108" s="1"/>
      <c r="AL108" s="438"/>
      <c r="AM108" s="438"/>
      <c r="AN108" s="438"/>
      <c r="AO108" s="438"/>
      <c r="AP108" s="438"/>
      <c r="AQ108" s="438"/>
      <c r="AR108" s="438"/>
      <c r="AS108" s="438"/>
      <c r="AT108" s="29"/>
      <c r="AU108" s="30"/>
      <c r="AV108" s="30"/>
      <c r="AW108" s="30"/>
      <c r="AX108" s="30"/>
    </row>
    <row r="109" spans="1:50" ht="11.25" customHeight="1">
      <c r="A109" s="1"/>
      <c r="B109" s="442"/>
      <c r="C109" s="445"/>
      <c r="D109" s="448"/>
      <c r="E109" s="451"/>
      <c r="F109" s="454"/>
      <c r="G109" s="454"/>
      <c r="H109" s="471"/>
      <c r="I109" s="473"/>
      <c r="J109" s="473"/>
      <c r="K109" s="471"/>
      <c r="L109" s="44">
        <f t="shared" ref="L109" si="109">IF(L108&gt;0,L108-HOUR(H105)-MINUTE(H105)/60,0)</f>
        <v>0</v>
      </c>
      <c r="M109" s="56">
        <f t="shared" ref="M109" si="110">TIME(L109-MOD(L109,1),MOD(L109,1)*60,0)</f>
        <v>0</v>
      </c>
      <c r="N109" s="476"/>
      <c r="O109" s="45">
        <f t="shared" ref="O109" si="111">M111</f>
        <v>0</v>
      </c>
      <c r="P109" s="45">
        <f t="shared" ref="P109" si="112">SUMIF(AB105:AB114,"1.25",AC105:AC114)+SUMIF(AB105:AB114,"他時間外",AC105:AC114)+SUMIF(AB105:AB114,"1.35",AC105:AC114)</f>
        <v>0</v>
      </c>
      <c r="Q109" s="47"/>
      <c r="R109" s="47"/>
      <c r="S109" s="47"/>
      <c r="T109" s="48"/>
      <c r="U109" s="462"/>
      <c r="V109" s="462"/>
      <c r="W109" s="36"/>
      <c r="X109" s="49"/>
      <c r="Y109" s="50"/>
      <c r="Z109" s="50"/>
      <c r="AA109" s="50"/>
      <c r="AB109" s="51"/>
      <c r="AC109" s="52"/>
      <c r="AD109" s="465"/>
      <c r="AE109" s="53"/>
      <c r="AF109" s="54"/>
      <c r="AG109" s="55"/>
      <c r="AH109" s="468"/>
      <c r="AI109" s="468"/>
      <c r="AJ109" s="55"/>
      <c r="AK109" s="1"/>
      <c r="AL109" s="438"/>
      <c r="AM109" s="438"/>
      <c r="AN109" s="438"/>
      <c r="AO109" s="438"/>
      <c r="AP109" s="438"/>
      <c r="AQ109" s="438"/>
      <c r="AR109" s="438"/>
      <c r="AS109" s="438"/>
      <c r="AT109" s="29"/>
      <c r="AU109" s="30"/>
      <c r="AV109" s="30"/>
      <c r="AW109" s="30"/>
      <c r="AX109" s="30"/>
    </row>
    <row r="110" spans="1:50" ht="11.25" customHeight="1">
      <c r="A110" s="1"/>
      <c r="B110" s="442"/>
      <c r="C110" s="445"/>
      <c r="D110" s="448"/>
      <c r="E110" s="451"/>
      <c r="F110" s="454"/>
      <c r="G110" s="454"/>
      <c r="H110" s="471"/>
      <c r="I110" s="473"/>
      <c r="J110" s="473"/>
      <c r="K110" s="471"/>
      <c r="L110" s="44">
        <f t="shared" ref="L110" si="113">L109-$L$12</f>
        <v>-7.75</v>
      </c>
      <c r="M110" s="44"/>
      <c r="N110" s="476"/>
      <c r="O110" s="46"/>
      <c r="P110" s="46"/>
      <c r="Q110" s="47"/>
      <c r="R110" s="47"/>
      <c r="S110" s="47"/>
      <c r="T110" s="48"/>
      <c r="U110" s="462"/>
      <c r="V110" s="462"/>
      <c r="W110" s="36"/>
      <c r="X110" s="49"/>
      <c r="Y110" s="50"/>
      <c r="Z110" s="50"/>
      <c r="AA110" s="50"/>
      <c r="AB110" s="51"/>
      <c r="AC110" s="52"/>
      <c r="AD110" s="465"/>
      <c r="AE110" s="53"/>
      <c r="AF110" s="54"/>
      <c r="AG110" s="55"/>
      <c r="AH110" s="468"/>
      <c r="AI110" s="468"/>
      <c r="AJ110" s="55"/>
      <c r="AK110" s="1"/>
      <c r="AL110" s="438"/>
      <c r="AM110" s="438"/>
      <c r="AN110" s="438"/>
      <c r="AO110" s="438"/>
      <c r="AP110" s="438"/>
      <c r="AQ110" s="438"/>
      <c r="AR110" s="438"/>
      <c r="AS110" s="438"/>
      <c r="AT110" s="29"/>
      <c r="AU110" s="30"/>
      <c r="AV110" s="30"/>
      <c r="AW110" s="30"/>
      <c r="AX110" s="30"/>
    </row>
    <row r="111" spans="1:50" ht="11.25" customHeight="1">
      <c r="A111" s="1"/>
      <c r="B111" s="442"/>
      <c r="C111" s="445"/>
      <c r="D111" s="448"/>
      <c r="E111" s="451"/>
      <c r="F111" s="454"/>
      <c r="G111" s="454"/>
      <c r="H111" s="471"/>
      <c r="I111" s="473"/>
      <c r="J111" s="473"/>
      <c r="K111" s="471"/>
      <c r="L111" s="44">
        <f t="shared" ref="L111" si="114">IF($I$3= "協力会社",0,IF(L110&gt;0,L110,0))</f>
        <v>0</v>
      </c>
      <c r="M111" s="56">
        <f t="shared" ref="M111" si="115">TIME(L111-MOD(L111,1),MOD(L111,1)*60,0)</f>
        <v>0</v>
      </c>
      <c r="N111" s="476"/>
      <c r="O111" s="46"/>
      <c r="P111" s="45">
        <f t="shared" ref="P111" si="116">SUMIF(AB105:AB114,"0.25深夜",AC105:AC114)</f>
        <v>0</v>
      </c>
      <c r="Q111" s="47"/>
      <c r="R111" s="47"/>
      <c r="S111" s="47"/>
      <c r="T111" s="48"/>
      <c r="U111" s="462"/>
      <c r="V111" s="462"/>
      <c r="W111" s="36"/>
      <c r="X111" s="49"/>
      <c r="Y111" s="50"/>
      <c r="Z111" s="50"/>
      <c r="AA111" s="50"/>
      <c r="AB111" s="51"/>
      <c r="AC111" s="52"/>
      <c r="AD111" s="465"/>
      <c r="AE111" s="53"/>
      <c r="AF111" s="54"/>
      <c r="AG111" s="55"/>
      <c r="AH111" s="468"/>
      <c r="AI111" s="468"/>
      <c r="AJ111" s="55"/>
      <c r="AK111" s="1"/>
      <c r="AL111" s="438"/>
      <c r="AM111" s="438"/>
      <c r="AN111" s="438"/>
      <c r="AO111" s="438"/>
      <c r="AP111" s="438"/>
      <c r="AQ111" s="438"/>
      <c r="AR111" s="438"/>
      <c r="AS111" s="438"/>
      <c r="AT111" s="29"/>
      <c r="AU111" s="30"/>
      <c r="AV111" s="30"/>
      <c r="AW111" s="30"/>
      <c r="AX111" s="30"/>
    </row>
    <row r="112" spans="1:50" ht="11.25" customHeight="1">
      <c r="A112" s="1"/>
      <c r="B112" s="442"/>
      <c r="C112" s="445"/>
      <c r="D112" s="448"/>
      <c r="E112" s="451"/>
      <c r="F112" s="454"/>
      <c r="G112" s="454"/>
      <c r="H112" s="471"/>
      <c r="I112" s="473"/>
      <c r="J112" s="473"/>
      <c r="K112" s="471"/>
      <c r="L112" s="44"/>
      <c r="M112" s="44"/>
      <c r="N112" s="476"/>
      <c r="O112" s="46"/>
      <c r="P112" s="46"/>
      <c r="Q112" s="47"/>
      <c r="R112" s="47"/>
      <c r="S112" s="47"/>
      <c r="T112" s="48"/>
      <c r="U112" s="462"/>
      <c r="V112" s="462"/>
      <c r="W112" s="36"/>
      <c r="X112" s="49"/>
      <c r="Y112" s="50"/>
      <c r="Z112" s="50"/>
      <c r="AA112" s="50"/>
      <c r="AB112" s="51"/>
      <c r="AC112" s="52"/>
      <c r="AD112" s="465"/>
      <c r="AE112" s="53"/>
      <c r="AF112" s="54"/>
      <c r="AG112" s="55"/>
      <c r="AH112" s="468"/>
      <c r="AI112" s="468"/>
      <c r="AJ112" s="55"/>
      <c r="AK112" s="1"/>
      <c r="AL112" s="438"/>
      <c r="AM112" s="438"/>
      <c r="AN112" s="438"/>
      <c r="AO112" s="438"/>
      <c r="AP112" s="438"/>
      <c r="AQ112" s="438"/>
      <c r="AR112" s="438"/>
      <c r="AS112" s="438"/>
      <c r="AT112" s="29"/>
      <c r="AU112" s="30"/>
      <c r="AV112" s="30"/>
      <c r="AW112" s="30"/>
      <c r="AX112" s="30"/>
    </row>
    <row r="113" spans="1:50" ht="11.25" customHeight="1">
      <c r="A113" s="1"/>
      <c r="B113" s="442"/>
      <c r="C113" s="445"/>
      <c r="D113" s="448"/>
      <c r="E113" s="451"/>
      <c r="F113" s="454"/>
      <c r="G113" s="454"/>
      <c r="H113" s="471"/>
      <c r="I113" s="473"/>
      <c r="J113" s="473"/>
      <c r="K113" s="471"/>
      <c r="L113" s="44"/>
      <c r="M113" s="44"/>
      <c r="N113" s="478"/>
      <c r="O113" s="57">
        <f t="shared" ref="O113" si="117">O105+O109</f>
        <v>0</v>
      </c>
      <c r="P113" s="57">
        <f t="shared" ref="P113" si="118">SUM(P105:P109)</f>
        <v>0</v>
      </c>
      <c r="Q113" s="47"/>
      <c r="R113" s="47"/>
      <c r="S113" s="47"/>
      <c r="T113" s="48"/>
      <c r="U113" s="462"/>
      <c r="V113" s="462"/>
      <c r="W113" s="36"/>
      <c r="X113" s="49"/>
      <c r="Y113" s="49"/>
      <c r="Z113" s="49"/>
      <c r="AA113" s="49"/>
      <c r="AB113" s="51"/>
      <c r="AC113" s="52"/>
      <c r="AD113" s="465"/>
      <c r="AE113" s="53"/>
      <c r="AF113" s="59"/>
      <c r="AG113" s="60"/>
      <c r="AH113" s="468"/>
      <c r="AI113" s="468"/>
      <c r="AJ113" s="55"/>
      <c r="AK113" s="1"/>
      <c r="AL113" s="438"/>
      <c r="AM113" s="438"/>
      <c r="AN113" s="438"/>
      <c r="AO113" s="438"/>
      <c r="AP113" s="438"/>
      <c r="AQ113" s="438"/>
      <c r="AR113" s="438"/>
      <c r="AS113" s="438"/>
      <c r="AT113" s="29"/>
      <c r="AU113" s="30"/>
      <c r="AV113" s="30"/>
      <c r="AW113" s="30"/>
      <c r="AX113" s="30"/>
    </row>
    <row r="114" spans="1:50" ht="11.25" customHeight="1">
      <c r="A114" s="1"/>
      <c r="B114" s="443"/>
      <c r="C114" s="446"/>
      <c r="D114" s="449"/>
      <c r="E114" s="452"/>
      <c r="F114" s="455"/>
      <c r="G114" s="455"/>
      <c r="H114" s="472"/>
      <c r="I114" s="474"/>
      <c r="J114" s="474"/>
      <c r="K114" s="472"/>
      <c r="L114" s="61"/>
      <c r="M114" s="61"/>
      <c r="N114" s="477"/>
      <c r="O114" s="62"/>
      <c r="P114" s="62"/>
      <c r="Q114" s="63"/>
      <c r="R114" s="63"/>
      <c r="S114" s="63"/>
      <c r="T114" s="64"/>
      <c r="U114" s="463"/>
      <c r="V114" s="463"/>
      <c r="W114" s="65"/>
      <c r="X114" s="66"/>
      <c r="Y114" s="67"/>
      <c r="Z114" s="67"/>
      <c r="AA114" s="67"/>
      <c r="AB114" s="68"/>
      <c r="AC114" s="69"/>
      <c r="AD114" s="466"/>
      <c r="AE114" s="70"/>
      <c r="AF114" s="71"/>
      <c r="AG114" s="72"/>
      <c r="AH114" s="469"/>
      <c r="AI114" s="469"/>
      <c r="AJ114" s="72"/>
      <c r="AK114" s="1"/>
      <c r="AL114" s="439"/>
      <c r="AM114" s="439"/>
      <c r="AN114" s="439"/>
      <c r="AO114" s="439"/>
      <c r="AP114" s="439"/>
      <c r="AQ114" s="439"/>
      <c r="AR114" s="439"/>
      <c r="AS114" s="439"/>
      <c r="AT114" s="29"/>
      <c r="AU114" s="30"/>
      <c r="AV114" s="30"/>
      <c r="AW114" s="30"/>
      <c r="AX114" s="30"/>
    </row>
    <row r="115" spans="1:50">
      <c r="A115" s="1"/>
      <c r="B115" s="441">
        <f>IF(B105="","",IF(B105+1&gt;$AB$3,"",B105+1))</f>
        <v>44662</v>
      </c>
      <c r="C115" s="444">
        <f>IF(C105="","",IF(C105+1&gt;$AB$3,"",C105+1))</f>
        <v>44662</v>
      </c>
      <c r="D115" s="447">
        <f>IF(C115="","",WEEKDAY(C115,1))</f>
        <v>2</v>
      </c>
      <c r="E115" s="450" t="str">
        <f>IF($D115="","",IF(NOT(ISERROR(MATCH($C115,祝日テーブル,0)=TRUE)),IF($D115=1,"法定","法定外"),IF($D115=1,"法定",IF($D115=7,"法定外",""))))</f>
        <v/>
      </c>
      <c r="F115" s="453">
        <v>900</v>
      </c>
      <c r="G115" s="453">
        <v>1745</v>
      </c>
      <c r="H115" s="470">
        <v>4.1666666666666664E-2</v>
      </c>
      <c r="I115" s="473"/>
      <c r="J115" s="473"/>
      <c r="K115" s="471"/>
      <c r="L115" s="32">
        <f t="shared" ref="L115" si="119">MOD(F115,100)+FLOOR(F115/100,1)*60</f>
        <v>540</v>
      </c>
      <c r="M115" s="32"/>
      <c r="N115" s="475"/>
      <c r="O115" s="33">
        <f t="shared" ref="O115" si="120">IF($I$3= "協力会社",M119,IF(L119&gt;=$L$12,$M$12,IF(L119&gt;0,M119,0)))</f>
        <v>0.32291666666666669</v>
      </c>
      <c r="P115" s="33">
        <f t="shared" ref="P115" si="121">SUMIF(AB115:AB124,"1.00",AC115:AC124)+SUMIF(AB115:AB124,"振休取得",AC115:AC124)</f>
        <v>0.32291666666666669</v>
      </c>
      <c r="Q115" s="34"/>
      <c r="R115" s="34"/>
      <c r="S115" s="34"/>
      <c r="T115" s="35"/>
      <c r="U115" s="462"/>
      <c r="V115" s="462"/>
      <c r="W115" s="36" t="s">
        <v>649</v>
      </c>
      <c r="X115" s="37" t="s">
        <v>608</v>
      </c>
      <c r="Y115" s="37"/>
      <c r="Z115" s="37" t="s">
        <v>650</v>
      </c>
      <c r="AA115" s="37"/>
      <c r="AB115" s="38" t="s">
        <v>121</v>
      </c>
      <c r="AC115" s="39">
        <v>0.32291666666666669</v>
      </c>
      <c r="AD115" s="464"/>
      <c r="AE115" s="40"/>
      <c r="AF115" s="41"/>
      <c r="AG115" s="42"/>
      <c r="AH115" s="467" t="s">
        <v>652</v>
      </c>
      <c r="AI115" s="467" t="s">
        <v>653</v>
      </c>
      <c r="AJ115" s="73"/>
      <c r="AK115" s="1"/>
      <c r="AL115" s="437"/>
      <c r="AM115" s="437"/>
      <c r="AN115" s="437"/>
      <c r="AO115" s="437"/>
      <c r="AP115" s="437"/>
      <c r="AQ115" s="437"/>
      <c r="AR115" s="437"/>
      <c r="AS115" s="437"/>
      <c r="AT115" s="29"/>
      <c r="AU115" s="30"/>
      <c r="AV115" s="30"/>
      <c r="AW115" s="30"/>
      <c r="AX115" s="30"/>
    </row>
    <row r="116" spans="1:50" ht="11.25" customHeight="1">
      <c r="A116" s="1"/>
      <c r="B116" s="442"/>
      <c r="C116" s="445"/>
      <c r="D116" s="448"/>
      <c r="E116" s="451"/>
      <c r="F116" s="454"/>
      <c r="G116" s="454"/>
      <c r="H116" s="471"/>
      <c r="I116" s="473"/>
      <c r="J116" s="473"/>
      <c r="K116" s="471"/>
      <c r="L116" s="44">
        <f t="shared" ref="L116" si="122">MOD(G115,100)+FLOOR(G115/100,1)*60</f>
        <v>1065</v>
      </c>
      <c r="M116" s="44"/>
      <c r="N116" s="476"/>
      <c r="O116" s="45"/>
      <c r="P116" s="46"/>
      <c r="Q116" s="47"/>
      <c r="R116" s="47"/>
      <c r="S116" s="47"/>
      <c r="T116" s="48"/>
      <c r="U116" s="462"/>
      <c r="V116" s="462"/>
      <c r="W116" s="36"/>
      <c r="X116" s="49"/>
      <c r="Y116" s="50"/>
      <c r="Z116" s="50"/>
      <c r="AA116" s="50"/>
      <c r="AB116" s="51"/>
      <c r="AC116" s="52"/>
      <c r="AD116" s="465"/>
      <c r="AE116" s="53"/>
      <c r="AF116" s="54"/>
      <c r="AG116" s="55"/>
      <c r="AH116" s="468"/>
      <c r="AI116" s="468"/>
      <c r="AJ116" s="55"/>
      <c r="AK116" s="1"/>
      <c r="AL116" s="438"/>
      <c r="AM116" s="438"/>
      <c r="AN116" s="438"/>
      <c r="AO116" s="438"/>
      <c r="AP116" s="438"/>
      <c r="AQ116" s="438"/>
      <c r="AR116" s="438"/>
      <c r="AS116" s="438"/>
      <c r="AT116" s="29"/>
      <c r="AU116" s="30"/>
      <c r="AV116" s="30"/>
      <c r="AW116" s="30"/>
      <c r="AX116" s="30"/>
    </row>
    <row r="117" spans="1:50" ht="11.25" customHeight="1">
      <c r="A117" s="1"/>
      <c r="B117" s="442"/>
      <c r="C117" s="445"/>
      <c r="D117" s="448"/>
      <c r="E117" s="451"/>
      <c r="F117" s="454"/>
      <c r="G117" s="454"/>
      <c r="H117" s="471"/>
      <c r="I117" s="473"/>
      <c r="J117" s="473"/>
      <c r="K117" s="471"/>
      <c r="L117" s="44">
        <f t="shared" ref="L117" si="123">L116-L115</f>
        <v>525</v>
      </c>
      <c r="M117" s="44"/>
      <c r="N117" s="476"/>
      <c r="O117" s="46"/>
      <c r="P117" s="45">
        <f t="shared" ref="P117" si="124">SUMIF(AB115:AB124,"有休",AC115:AC124)+SUMIF(AB115:AB124,"無給休",AC115:AC124)+SUMIF(AB115:AB124,"振休",AC115:AC124)+SUMIF(AB115:AB124,"特休",AC115:AC124)</f>
        <v>0</v>
      </c>
      <c r="Q117" s="47"/>
      <c r="R117" s="47"/>
      <c r="S117" s="47"/>
      <c r="T117" s="48"/>
      <c r="U117" s="462"/>
      <c r="V117" s="462"/>
      <c r="W117" s="36"/>
      <c r="X117" s="49"/>
      <c r="Y117" s="50"/>
      <c r="Z117" s="50"/>
      <c r="AA117" s="50"/>
      <c r="AB117" s="51"/>
      <c r="AC117" s="52"/>
      <c r="AD117" s="465"/>
      <c r="AE117" s="53"/>
      <c r="AF117" s="54"/>
      <c r="AG117" s="55"/>
      <c r="AH117" s="468"/>
      <c r="AI117" s="468"/>
      <c r="AJ117" s="54"/>
      <c r="AK117" s="1"/>
      <c r="AL117" s="438"/>
      <c r="AM117" s="438"/>
      <c r="AN117" s="438"/>
      <c r="AO117" s="438"/>
      <c r="AP117" s="438"/>
      <c r="AQ117" s="438"/>
      <c r="AR117" s="438"/>
      <c r="AS117" s="438"/>
      <c r="AT117" s="29"/>
      <c r="AU117" s="30"/>
      <c r="AV117" s="30"/>
      <c r="AW117" s="30"/>
      <c r="AX117" s="30"/>
    </row>
    <row r="118" spans="1:50" ht="11.25" customHeight="1">
      <c r="A118" s="1"/>
      <c r="B118" s="442"/>
      <c r="C118" s="445"/>
      <c r="D118" s="448"/>
      <c r="E118" s="451"/>
      <c r="F118" s="454"/>
      <c r="G118" s="454"/>
      <c r="H118" s="471"/>
      <c r="I118" s="473"/>
      <c r="J118" s="473"/>
      <c r="K118" s="471"/>
      <c r="L118" s="44">
        <f t="shared" ref="L118" si="125">ROUNDUP(L117/60,2)</f>
        <v>8.75</v>
      </c>
      <c r="M118" s="44"/>
      <c r="N118" s="476"/>
      <c r="O118" s="46"/>
      <c r="P118" s="46"/>
      <c r="Q118" s="47"/>
      <c r="R118" s="47"/>
      <c r="S118" s="47"/>
      <c r="T118" s="48"/>
      <c r="U118" s="462"/>
      <c r="V118" s="462"/>
      <c r="W118" s="36"/>
      <c r="X118" s="49"/>
      <c r="Y118" s="50"/>
      <c r="Z118" s="50"/>
      <c r="AA118" s="50"/>
      <c r="AB118" s="51"/>
      <c r="AC118" s="52"/>
      <c r="AD118" s="465"/>
      <c r="AE118" s="53"/>
      <c r="AF118" s="54"/>
      <c r="AG118" s="55"/>
      <c r="AH118" s="468"/>
      <c r="AI118" s="468"/>
      <c r="AJ118" s="55"/>
      <c r="AK118" s="1"/>
      <c r="AL118" s="438"/>
      <c r="AM118" s="438"/>
      <c r="AN118" s="438"/>
      <c r="AO118" s="438"/>
      <c r="AP118" s="438"/>
      <c r="AQ118" s="438"/>
      <c r="AR118" s="438"/>
      <c r="AS118" s="438"/>
      <c r="AT118" s="29"/>
      <c r="AU118" s="30"/>
      <c r="AV118" s="30"/>
      <c r="AW118" s="30"/>
      <c r="AX118" s="30"/>
    </row>
    <row r="119" spans="1:50" ht="11.25" customHeight="1">
      <c r="A119" s="1"/>
      <c r="B119" s="442"/>
      <c r="C119" s="445"/>
      <c r="D119" s="448"/>
      <c r="E119" s="451"/>
      <c r="F119" s="454"/>
      <c r="G119" s="454"/>
      <c r="H119" s="471"/>
      <c r="I119" s="473"/>
      <c r="J119" s="473"/>
      <c r="K119" s="471"/>
      <c r="L119" s="44">
        <f t="shared" ref="L119" si="126">IF(L118&gt;0,L118-HOUR(H115)-MINUTE(H115)/60,0)</f>
        <v>7.75</v>
      </c>
      <c r="M119" s="56">
        <f t="shared" ref="M119" si="127">TIME(L119-MOD(L119,1),MOD(L119,1)*60,0)</f>
        <v>0.32291666666666669</v>
      </c>
      <c r="N119" s="476"/>
      <c r="O119" s="45">
        <f t="shared" ref="O119" si="128">M121</f>
        <v>0</v>
      </c>
      <c r="P119" s="45">
        <f t="shared" ref="P119" si="129">SUMIF(AB115:AB124,"1.25",AC115:AC124)+SUMIF(AB115:AB124,"他時間外",AC115:AC124)+SUMIF(AB115:AB124,"1.35",AC115:AC124)</f>
        <v>0</v>
      </c>
      <c r="Q119" s="47"/>
      <c r="R119" s="47"/>
      <c r="S119" s="47"/>
      <c r="T119" s="48"/>
      <c r="U119" s="462"/>
      <c r="V119" s="462"/>
      <c r="W119" s="36"/>
      <c r="X119" s="49"/>
      <c r="Y119" s="50"/>
      <c r="Z119" s="50"/>
      <c r="AA119" s="50"/>
      <c r="AB119" s="51"/>
      <c r="AC119" s="52"/>
      <c r="AD119" s="465"/>
      <c r="AE119" s="53"/>
      <c r="AF119" s="54"/>
      <c r="AG119" s="55"/>
      <c r="AH119" s="468"/>
      <c r="AI119" s="468"/>
      <c r="AJ119" s="55"/>
      <c r="AK119" s="1"/>
      <c r="AL119" s="438"/>
      <c r="AM119" s="438"/>
      <c r="AN119" s="438"/>
      <c r="AO119" s="438"/>
      <c r="AP119" s="438"/>
      <c r="AQ119" s="438"/>
      <c r="AR119" s="438"/>
      <c r="AS119" s="438"/>
      <c r="AT119" s="29"/>
      <c r="AU119" s="30"/>
      <c r="AV119" s="30"/>
      <c r="AW119" s="30"/>
      <c r="AX119" s="30"/>
    </row>
    <row r="120" spans="1:50" ht="11.25" customHeight="1">
      <c r="A120" s="1"/>
      <c r="B120" s="442"/>
      <c r="C120" s="445"/>
      <c r="D120" s="448"/>
      <c r="E120" s="451"/>
      <c r="F120" s="454"/>
      <c r="G120" s="454"/>
      <c r="H120" s="471"/>
      <c r="I120" s="473"/>
      <c r="J120" s="473"/>
      <c r="K120" s="471"/>
      <c r="L120" s="44">
        <f t="shared" ref="L120" si="130">L119-$L$12</f>
        <v>0</v>
      </c>
      <c r="M120" s="44"/>
      <c r="N120" s="476"/>
      <c r="O120" s="46"/>
      <c r="P120" s="46"/>
      <c r="Q120" s="47"/>
      <c r="R120" s="47"/>
      <c r="S120" s="47"/>
      <c r="T120" s="48"/>
      <c r="U120" s="462"/>
      <c r="V120" s="462"/>
      <c r="W120" s="36"/>
      <c r="X120" s="49"/>
      <c r="Y120" s="50"/>
      <c r="Z120" s="50"/>
      <c r="AA120" s="50"/>
      <c r="AB120" s="51"/>
      <c r="AC120" s="52"/>
      <c r="AD120" s="465"/>
      <c r="AE120" s="53"/>
      <c r="AF120" s="54"/>
      <c r="AG120" s="55"/>
      <c r="AH120" s="468"/>
      <c r="AI120" s="468"/>
      <c r="AJ120" s="55"/>
      <c r="AK120" s="1"/>
      <c r="AL120" s="438"/>
      <c r="AM120" s="438"/>
      <c r="AN120" s="438"/>
      <c r="AO120" s="438"/>
      <c r="AP120" s="438"/>
      <c r="AQ120" s="438"/>
      <c r="AR120" s="438"/>
      <c r="AS120" s="438"/>
      <c r="AT120" s="29"/>
      <c r="AU120" s="30"/>
      <c r="AV120" s="30"/>
      <c r="AW120" s="30"/>
      <c r="AX120" s="30"/>
    </row>
    <row r="121" spans="1:50" ht="11.25" customHeight="1">
      <c r="A121" s="1"/>
      <c r="B121" s="442"/>
      <c r="C121" s="445"/>
      <c r="D121" s="448"/>
      <c r="E121" s="451"/>
      <c r="F121" s="454"/>
      <c r="G121" s="454"/>
      <c r="H121" s="471"/>
      <c r="I121" s="473"/>
      <c r="J121" s="473"/>
      <c r="K121" s="471"/>
      <c r="L121" s="44">
        <f t="shared" ref="L121" si="131">IF($I$3= "協力会社",0,IF(L120&gt;0,L120,0))</f>
        <v>0</v>
      </c>
      <c r="M121" s="56">
        <f t="shared" ref="M121" si="132">TIME(L121-MOD(L121,1),MOD(L121,1)*60,0)</f>
        <v>0</v>
      </c>
      <c r="N121" s="476"/>
      <c r="O121" s="46"/>
      <c r="P121" s="45">
        <f t="shared" ref="P121" si="133">SUMIF(AB115:AB124,"0.25深夜",AC115:AC124)</f>
        <v>0</v>
      </c>
      <c r="Q121" s="47"/>
      <c r="R121" s="47"/>
      <c r="S121" s="47"/>
      <c r="T121" s="48"/>
      <c r="U121" s="462"/>
      <c r="V121" s="462"/>
      <c r="W121" s="36"/>
      <c r="X121" s="49"/>
      <c r="Y121" s="50"/>
      <c r="Z121" s="50"/>
      <c r="AA121" s="50"/>
      <c r="AB121" s="51"/>
      <c r="AC121" s="52"/>
      <c r="AD121" s="465"/>
      <c r="AE121" s="53"/>
      <c r="AF121" s="54"/>
      <c r="AG121" s="55"/>
      <c r="AH121" s="468"/>
      <c r="AI121" s="468"/>
      <c r="AJ121" s="55"/>
      <c r="AK121" s="1"/>
      <c r="AL121" s="438"/>
      <c r="AM121" s="438"/>
      <c r="AN121" s="438"/>
      <c r="AO121" s="438"/>
      <c r="AP121" s="438"/>
      <c r="AQ121" s="438"/>
      <c r="AR121" s="438"/>
      <c r="AS121" s="438"/>
      <c r="AT121" s="29"/>
      <c r="AU121" s="30"/>
      <c r="AV121" s="30"/>
      <c r="AW121" s="30"/>
      <c r="AX121" s="30"/>
    </row>
    <row r="122" spans="1:50" ht="11.25" customHeight="1">
      <c r="A122" s="1"/>
      <c r="B122" s="442"/>
      <c r="C122" s="445"/>
      <c r="D122" s="448"/>
      <c r="E122" s="451"/>
      <c r="F122" s="454"/>
      <c r="G122" s="454"/>
      <c r="H122" s="471"/>
      <c r="I122" s="473"/>
      <c r="J122" s="473"/>
      <c r="K122" s="471"/>
      <c r="L122" s="44"/>
      <c r="M122" s="44"/>
      <c r="N122" s="476"/>
      <c r="O122" s="46"/>
      <c r="P122" s="46"/>
      <c r="Q122" s="47"/>
      <c r="R122" s="47"/>
      <c r="S122" s="47"/>
      <c r="T122" s="48"/>
      <c r="U122" s="462"/>
      <c r="V122" s="462"/>
      <c r="W122" s="36"/>
      <c r="X122" s="49"/>
      <c r="Y122" s="50"/>
      <c r="Z122" s="50"/>
      <c r="AA122" s="50"/>
      <c r="AB122" s="51"/>
      <c r="AC122" s="52"/>
      <c r="AD122" s="465"/>
      <c r="AE122" s="53"/>
      <c r="AF122" s="54"/>
      <c r="AG122" s="55"/>
      <c r="AH122" s="468"/>
      <c r="AI122" s="468"/>
      <c r="AJ122" s="55"/>
      <c r="AK122" s="1"/>
      <c r="AL122" s="438"/>
      <c r="AM122" s="438"/>
      <c r="AN122" s="438"/>
      <c r="AO122" s="438"/>
      <c r="AP122" s="438"/>
      <c r="AQ122" s="438"/>
      <c r="AR122" s="438"/>
      <c r="AS122" s="438"/>
      <c r="AT122" s="29"/>
      <c r="AU122" s="30"/>
      <c r="AV122" s="30"/>
      <c r="AW122" s="30"/>
      <c r="AX122" s="30"/>
    </row>
    <row r="123" spans="1:50" ht="11.25" customHeight="1">
      <c r="A123" s="1"/>
      <c r="B123" s="442"/>
      <c r="C123" s="445"/>
      <c r="D123" s="448"/>
      <c r="E123" s="451"/>
      <c r="F123" s="454"/>
      <c r="G123" s="454"/>
      <c r="H123" s="471"/>
      <c r="I123" s="473"/>
      <c r="J123" s="473"/>
      <c r="K123" s="471"/>
      <c r="L123" s="44"/>
      <c r="M123" s="44"/>
      <c r="N123" s="478"/>
      <c r="O123" s="57">
        <f t="shared" ref="O123" si="134">O115+O119</f>
        <v>0.32291666666666669</v>
      </c>
      <c r="P123" s="57">
        <f t="shared" ref="P123" si="135">SUM(P115:P119)</f>
        <v>0.32291666666666669</v>
      </c>
      <c r="Q123" s="47"/>
      <c r="R123" s="47"/>
      <c r="S123" s="47"/>
      <c r="T123" s="48"/>
      <c r="U123" s="462"/>
      <c r="V123" s="462"/>
      <c r="W123" s="36"/>
      <c r="X123" s="49"/>
      <c r="Y123" s="49"/>
      <c r="Z123" s="49"/>
      <c r="AA123" s="49"/>
      <c r="AB123" s="51"/>
      <c r="AC123" s="52"/>
      <c r="AD123" s="465"/>
      <c r="AE123" s="53"/>
      <c r="AF123" s="59"/>
      <c r="AG123" s="60"/>
      <c r="AH123" s="468"/>
      <c r="AI123" s="468"/>
      <c r="AJ123" s="55"/>
      <c r="AK123" s="1"/>
      <c r="AL123" s="438"/>
      <c r="AM123" s="438"/>
      <c r="AN123" s="438"/>
      <c r="AO123" s="438"/>
      <c r="AP123" s="438"/>
      <c r="AQ123" s="438"/>
      <c r="AR123" s="438"/>
      <c r="AS123" s="438"/>
      <c r="AT123" s="29"/>
      <c r="AU123" s="30"/>
      <c r="AV123" s="30"/>
      <c r="AW123" s="30"/>
      <c r="AX123" s="30"/>
    </row>
    <row r="124" spans="1:50" ht="11.25" customHeight="1">
      <c r="A124" s="1"/>
      <c r="B124" s="443"/>
      <c r="C124" s="446"/>
      <c r="D124" s="449"/>
      <c r="E124" s="452"/>
      <c r="F124" s="455"/>
      <c r="G124" s="455"/>
      <c r="H124" s="472"/>
      <c r="I124" s="474"/>
      <c r="J124" s="474"/>
      <c r="K124" s="472"/>
      <c r="L124" s="61"/>
      <c r="M124" s="61"/>
      <c r="N124" s="477"/>
      <c r="O124" s="62"/>
      <c r="P124" s="62"/>
      <c r="Q124" s="63"/>
      <c r="R124" s="63"/>
      <c r="S124" s="63"/>
      <c r="T124" s="64"/>
      <c r="U124" s="463"/>
      <c r="V124" s="463"/>
      <c r="W124" s="65"/>
      <c r="X124" s="66"/>
      <c r="Y124" s="67"/>
      <c r="Z124" s="67"/>
      <c r="AA124" s="67"/>
      <c r="AB124" s="68"/>
      <c r="AC124" s="69"/>
      <c r="AD124" s="466"/>
      <c r="AE124" s="70"/>
      <c r="AF124" s="71"/>
      <c r="AG124" s="72"/>
      <c r="AH124" s="469"/>
      <c r="AI124" s="469"/>
      <c r="AJ124" s="72"/>
      <c r="AK124" s="1"/>
      <c r="AL124" s="439"/>
      <c r="AM124" s="439"/>
      <c r="AN124" s="439"/>
      <c r="AO124" s="439"/>
      <c r="AP124" s="439"/>
      <c r="AQ124" s="439"/>
      <c r="AR124" s="439"/>
      <c r="AS124" s="439"/>
      <c r="AT124" s="29"/>
      <c r="AU124" s="30"/>
      <c r="AV124" s="30"/>
      <c r="AW124" s="30"/>
      <c r="AX124" s="30"/>
    </row>
    <row r="125" spans="1:50">
      <c r="A125" s="1"/>
      <c r="B125" s="441">
        <f>IF(B115="","",IF(B115+1&gt;$AB$3,"",B115+1))</f>
        <v>44663</v>
      </c>
      <c r="C125" s="444">
        <f>IF(C115="","",IF(C115+1&gt;$AB$3,"",C115+1))</f>
        <v>44663</v>
      </c>
      <c r="D125" s="447">
        <f>IF(C125="","",WEEKDAY(C125,1))</f>
        <v>3</v>
      </c>
      <c r="E125" s="450" t="str">
        <f>IF($D125="","",IF(NOT(ISERROR(MATCH($C125,祝日テーブル,0)=TRUE)),IF($D125=1,"法定","法定外"),IF($D125=1,"法定",IF($D125=7,"法定外",""))))</f>
        <v/>
      </c>
      <c r="F125" s="453">
        <v>800</v>
      </c>
      <c r="G125" s="453">
        <v>1700</v>
      </c>
      <c r="H125" s="470">
        <v>4.1666666666666664E-2</v>
      </c>
      <c r="I125" s="473"/>
      <c r="J125" s="473"/>
      <c r="K125" s="471"/>
      <c r="L125" s="32">
        <f t="shared" ref="L125" si="136">MOD(F125,100)+FLOOR(F125/100,1)*60</f>
        <v>480</v>
      </c>
      <c r="M125" s="32"/>
      <c r="N125" s="475"/>
      <c r="O125" s="33">
        <f t="shared" ref="O125" si="137">IF($I$3= "協力会社",M129,IF(L129&gt;=$L$12,$M$12,IF(L129&gt;0,M129,0)))</f>
        <v>0.33333333333333331</v>
      </c>
      <c r="P125" s="33">
        <f t="shared" ref="P125" si="138">SUMIF(AB125:AB134,"1.00",AC125:AC134)+SUMIF(AB125:AB134,"振休取得",AC125:AC134)</f>
        <v>0.33333333333333331</v>
      </c>
      <c r="Q125" s="34"/>
      <c r="R125" s="34"/>
      <c r="S125" s="34"/>
      <c r="T125" s="35"/>
      <c r="U125" s="462"/>
      <c r="V125" s="462"/>
      <c r="W125" s="36" t="s">
        <v>649</v>
      </c>
      <c r="X125" s="37" t="s">
        <v>608</v>
      </c>
      <c r="Y125" s="37"/>
      <c r="Z125" s="37" t="s">
        <v>650</v>
      </c>
      <c r="AA125" s="37"/>
      <c r="AB125" s="38" t="s">
        <v>121</v>
      </c>
      <c r="AC125" s="39">
        <v>0.33333333333333331</v>
      </c>
      <c r="AD125" s="464"/>
      <c r="AE125" s="40"/>
      <c r="AF125" s="41"/>
      <c r="AG125" s="42"/>
      <c r="AH125" s="467" t="s">
        <v>652</v>
      </c>
      <c r="AI125" s="467" t="s">
        <v>653</v>
      </c>
      <c r="AJ125" s="73"/>
      <c r="AK125" s="1"/>
      <c r="AL125" s="437"/>
      <c r="AM125" s="437"/>
      <c r="AN125" s="437"/>
      <c r="AO125" s="437"/>
      <c r="AP125" s="437"/>
      <c r="AQ125" s="437"/>
      <c r="AR125" s="437"/>
      <c r="AS125" s="437"/>
      <c r="AT125" s="29"/>
      <c r="AU125" s="30"/>
      <c r="AV125" s="30"/>
      <c r="AW125" s="30"/>
      <c r="AX125" s="30"/>
    </row>
    <row r="126" spans="1:50" ht="11.25" customHeight="1">
      <c r="A126" s="1"/>
      <c r="B126" s="442"/>
      <c r="C126" s="445"/>
      <c r="D126" s="448"/>
      <c r="E126" s="451"/>
      <c r="F126" s="454"/>
      <c r="G126" s="454"/>
      <c r="H126" s="471"/>
      <c r="I126" s="473"/>
      <c r="J126" s="473"/>
      <c r="K126" s="471"/>
      <c r="L126" s="44">
        <f t="shared" ref="L126" si="139">MOD(G125,100)+FLOOR(G125/100,1)*60</f>
        <v>1020</v>
      </c>
      <c r="M126" s="44"/>
      <c r="N126" s="476"/>
      <c r="O126" s="45"/>
      <c r="P126" s="46"/>
      <c r="Q126" s="47"/>
      <c r="R126" s="47"/>
      <c r="S126" s="47"/>
      <c r="T126" s="48"/>
      <c r="U126" s="462"/>
      <c r="V126" s="462"/>
      <c r="W126" s="36"/>
      <c r="X126" s="49"/>
      <c r="Y126" s="50"/>
      <c r="Z126" s="50"/>
      <c r="AA126" s="50"/>
      <c r="AB126" s="51"/>
      <c r="AC126" s="52"/>
      <c r="AD126" s="465"/>
      <c r="AE126" s="53"/>
      <c r="AF126" s="54"/>
      <c r="AG126" s="55"/>
      <c r="AH126" s="468"/>
      <c r="AI126" s="468"/>
      <c r="AJ126" s="55"/>
      <c r="AK126" s="1"/>
      <c r="AL126" s="438"/>
      <c r="AM126" s="438"/>
      <c r="AN126" s="438"/>
      <c r="AO126" s="438"/>
      <c r="AP126" s="438"/>
      <c r="AQ126" s="438"/>
      <c r="AR126" s="438"/>
      <c r="AS126" s="438"/>
      <c r="AT126" s="29"/>
      <c r="AU126" s="30"/>
      <c r="AV126" s="30"/>
      <c r="AW126" s="30"/>
      <c r="AX126" s="30"/>
    </row>
    <row r="127" spans="1:50" ht="11.25" customHeight="1">
      <c r="A127" s="1"/>
      <c r="B127" s="442"/>
      <c r="C127" s="445"/>
      <c r="D127" s="448"/>
      <c r="E127" s="451"/>
      <c r="F127" s="454"/>
      <c r="G127" s="454"/>
      <c r="H127" s="471"/>
      <c r="I127" s="473"/>
      <c r="J127" s="473"/>
      <c r="K127" s="471"/>
      <c r="L127" s="44">
        <f t="shared" ref="L127" si="140">L126-L125</f>
        <v>540</v>
      </c>
      <c r="M127" s="44"/>
      <c r="N127" s="476"/>
      <c r="O127" s="46"/>
      <c r="P127" s="45">
        <f t="shared" ref="P127" si="141">SUMIF(AB125:AB134,"有休",AC125:AC134)+SUMIF(AB125:AB134,"無給休",AC125:AC134)+SUMIF(AB125:AB134,"振休",AC125:AC134)+SUMIF(AB125:AB134,"特休",AC125:AC134)</f>
        <v>0</v>
      </c>
      <c r="Q127" s="47"/>
      <c r="R127" s="47"/>
      <c r="S127" s="47"/>
      <c r="T127" s="48"/>
      <c r="U127" s="462"/>
      <c r="V127" s="462"/>
      <c r="W127" s="36"/>
      <c r="X127" s="49"/>
      <c r="Y127" s="50"/>
      <c r="Z127" s="50"/>
      <c r="AA127" s="50"/>
      <c r="AB127" s="51"/>
      <c r="AC127" s="52"/>
      <c r="AD127" s="465"/>
      <c r="AE127" s="53"/>
      <c r="AF127" s="54"/>
      <c r="AG127" s="55"/>
      <c r="AH127" s="468"/>
      <c r="AI127" s="468"/>
      <c r="AJ127" s="54"/>
      <c r="AK127" s="1"/>
      <c r="AL127" s="438"/>
      <c r="AM127" s="438"/>
      <c r="AN127" s="438"/>
      <c r="AO127" s="438"/>
      <c r="AP127" s="438"/>
      <c r="AQ127" s="438"/>
      <c r="AR127" s="438"/>
      <c r="AS127" s="438"/>
      <c r="AT127" s="29"/>
      <c r="AU127" s="30"/>
      <c r="AV127" s="30"/>
      <c r="AW127" s="30"/>
      <c r="AX127" s="30"/>
    </row>
    <row r="128" spans="1:50" ht="11.25" customHeight="1">
      <c r="A128" s="1"/>
      <c r="B128" s="442"/>
      <c r="C128" s="445"/>
      <c r="D128" s="448"/>
      <c r="E128" s="451"/>
      <c r="F128" s="454"/>
      <c r="G128" s="454"/>
      <c r="H128" s="471"/>
      <c r="I128" s="473"/>
      <c r="J128" s="473"/>
      <c r="K128" s="471"/>
      <c r="L128" s="44">
        <f t="shared" ref="L128" si="142">ROUNDUP(L127/60,2)</f>
        <v>9</v>
      </c>
      <c r="M128" s="44"/>
      <c r="N128" s="476"/>
      <c r="O128" s="46"/>
      <c r="P128" s="46"/>
      <c r="Q128" s="47"/>
      <c r="R128" s="47"/>
      <c r="S128" s="47"/>
      <c r="T128" s="48"/>
      <c r="U128" s="462"/>
      <c r="V128" s="462"/>
      <c r="W128" s="36"/>
      <c r="X128" s="49"/>
      <c r="Y128" s="50"/>
      <c r="Z128" s="50"/>
      <c r="AA128" s="50"/>
      <c r="AB128" s="51"/>
      <c r="AC128" s="52"/>
      <c r="AD128" s="465"/>
      <c r="AE128" s="53"/>
      <c r="AF128" s="54"/>
      <c r="AG128" s="55"/>
      <c r="AH128" s="468"/>
      <c r="AI128" s="468"/>
      <c r="AJ128" s="55"/>
      <c r="AK128" s="1"/>
      <c r="AL128" s="438"/>
      <c r="AM128" s="438"/>
      <c r="AN128" s="438"/>
      <c r="AO128" s="438"/>
      <c r="AP128" s="438"/>
      <c r="AQ128" s="438"/>
      <c r="AR128" s="438"/>
      <c r="AS128" s="438"/>
      <c r="AT128" s="29"/>
      <c r="AU128" s="30"/>
      <c r="AV128" s="30"/>
      <c r="AW128" s="30"/>
      <c r="AX128" s="30"/>
    </row>
    <row r="129" spans="1:50" ht="11.25" customHeight="1">
      <c r="A129" s="1"/>
      <c r="B129" s="442"/>
      <c r="C129" s="445"/>
      <c r="D129" s="448"/>
      <c r="E129" s="451"/>
      <c r="F129" s="454"/>
      <c r="G129" s="454"/>
      <c r="H129" s="471"/>
      <c r="I129" s="473"/>
      <c r="J129" s="473"/>
      <c r="K129" s="471"/>
      <c r="L129" s="44">
        <f t="shared" ref="L129" si="143">IF(L128&gt;0,L128-HOUR(H125)-MINUTE(H125)/60,0)</f>
        <v>8</v>
      </c>
      <c r="M129" s="56">
        <f t="shared" ref="M129" si="144">TIME(L129-MOD(L129,1),MOD(L129,1)*60,0)</f>
        <v>0.33333333333333331</v>
      </c>
      <c r="N129" s="476"/>
      <c r="O129" s="45">
        <f t="shared" ref="O129" si="145">M131</f>
        <v>0</v>
      </c>
      <c r="P129" s="45">
        <f t="shared" ref="P129" si="146">SUMIF(AB125:AB134,"1.25",AC125:AC134)+SUMIF(AB125:AB134,"他時間外",AC125:AC134)+SUMIF(AB125:AB134,"1.35",AC125:AC134)</f>
        <v>0</v>
      </c>
      <c r="Q129" s="47"/>
      <c r="R129" s="47"/>
      <c r="S129" s="47"/>
      <c r="T129" s="48"/>
      <c r="U129" s="462"/>
      <c r="V129" s="462"/>
      <c r="W129" s="36"/>
      <c r="X129" s="49"/>
      <c r="Y129" s="50"/>
      <c r="Z129" s="50"/>
      <c r="AA129" s="50"/>
      <c r="AB129" s="51"/>
      <c r="AC129" s="52"/>
      <c r="AD129" s="465"/>
      <c r="AE129" s="53"/>
      <c r="AF129" s="54"/>
      <c r="AG129" s="55"/>
      <c r="AH129" s="468"/>
      <c r="AI129" s="468"/>
      <c r="AJ129" s="55"/>
      <c r="AK129" s="1"/>
      <c r="AL129" s="438"/>
      <c r="AM129" s="438"/>
      <c r="AN129" s="438"/>
      <c r="AO129" s="438"/>
      <c r="AP129" s="438"/>
      <c r="AQ129" s="438"/>
      <c r="AR129" s="438"/>
      <c r="AS129" s="438"/>
      <c r="AT129" s="29"/>
      <c r="AU129" s="30"/>
      <c r="AV129" s="30"/>
      <c r="AW129" s="30"/>
      <c r="AX129" s="30"/>
    </row>
    <row r="130" spans="1:50" ht="11.25" customHeight="1">
      <c r="A130" s="1"/>
      <c r="B130" s="442"/>
      <c r="C130" s="445"/>
      <c r="D130" s="448"/>
      <c r="E130" s="451"/>
      <c r="F130" s="454"/>
      <c r="G130" s="454"/>
      <c r="H130" s="471"/>
      <c r="I130" s="473"/>
      <c r="J130" s="473"/>
      <c r="K130" s="471"/>
      <c r="L130" s="44">
        <f t="shared" ref="L130" si="147">L129-$L$12</f>
        <v>0.25</v>
      </c>
      <c r="M130" s="44"/>
      <c r="N130" s="476"/>
      <c r="O130" s="46"/>
      <c r="P130" s="46"/>
      <c r="Q130" s="47"/>
      <c r="R130" s="47"/>
      <c r="S130" s="47"/>
      <c r="T130" s="48"/>
      <c r="U130" s="462"/>
      <c r="V130" s="462"/>
      <c r="W130" s="36"/>
      <c r="X130" s="49"/>
      <c r="Y130" s="50"/>
      <c r="Z130" s="50"/>
      <c r="AA130" s="50"/>
      <c r="AB130" s="51"/>
      <c r="AC130" s="52"/>
      <c r="AD130" s="465"/>
      <c r="AE130" s="53"/>
      <c r="AF130" s="54"/>
      <c r="AG130" s="55"/>
      <c r="AH130" s="468"/>
      <c r="AI130" s="468"/>
      <c r="AJ130" s="55"/>
      <c r="AK130" s="1"/>
      <c r="AL130" s="438"/>
      <c r="AM130" s="438"/>
      <c r="AN130" s="438"/>
      <c r="AO130" s="438"/>
      <c r="AP130" s="438"/>
      <c r="AQ130" s="438"/>
      <c r="AR130" s="438"/>
      <c r="AS130" s="438"/>
      <c r="AT130" s="29"/>
      <c r="AU130" s="30"/>
      <c r="AV130" s="30"/>
      <c r="AW130" s="30"/>
      <c r="AX130" s="30"/>
    </row>
    <row r="131" spans="1:50" ht="11.25" customHeight="1">
      <c r="A131" s="1"/>
      <c r="B131" s="442"/>
      <c r="C131" s="445"/>
      <c r="D131" s="448"/>
      <c r="E131" s="451"/>
      <c r="F131" s="454"/>
      <c r="G131" s="454"/>
      <c r="H131" s="471"/>
      <c r="I131" s="473"/>
      <c r="J131" s="473"/>
      <c r="K131" s="471"/>
      <c r="L131" s="44">
        <f t="shared" ref="L131" si="148">IF($I$3= "協力会社",0,IF(L130&gt;0,L130,0))</f>
        <v>0</v>
      </c>
      <c r="M131" s="56">
        <f t="shared" ref="M131" si="149">TIME(L131-MOD(L131,1),MOD(L131,1)*60,0)</f>
        <v>0</v>
      </c>
      <c r="N131" s="476"/>
      <c r="O131" s="46"/>
      <c r="P131" s="45">
        <f t="shared" ref="P131" si="150">SUMIF(AB125:AB134,"0.25深夜",AC125:AC134)</f>
        <v>0</v>
      </c>
      <c r="Q131" s="47"/>
      <c r="R131" s="47"/>
      <c r="S131" s="47"/>
      <c r="T131" s="48"/>
      <c r="U131" s="462"/>
      <c r="V131" s="462"/>
      <c r="W131" s="36"/>
      <c r="X131" s="49"/>
      <c r="Y131" s="50"/>
      <c r="Z131" s="50"/>
      <c r="AA131" s="50"/>
      <c r="AB131" s="51"/>
      <c r="AC131" s="52"/>
      <c r="AD131" s="465"/>
      <c r="AE131" s="53"/>
      <c r="AF131" s="54"/>
      <c r="AG131" s="55"/>
      <c r="AH131" s="468"/>
      <c r="AI131" s="468"/>
      <c r="AJ131" s="55"/>
      <c r="AK131" s="1"/>
      <c r="AL131" s="438"/>
      <c r="AM131" s="438"/>
      <c r="AN131" s="438"/>
      <c r="AO131" s="438"/>
      <c r="AP131" s="438"/>
      <c r="AQ131" s="438"/>
      <c r="AR131" s="438"/>
      <c r="AS131" s="438"/>
      <c r="AT131" s="29"/>
      <c r="AU131" s="30"/>
      <c r="AV131" s="30"/>
      <c r="AW131" s="30"/>
      <c r="AX131" s="30"/>
    </row>
    <row r="132" spans="1:50" ht="11.25" customHeight="1">
      <c r="A132" s="1"/>
      <c r="B132" s="442"/>
      <c r="C132" s="445"/>
      <c r="D132" s="448"/>
      <c r="E132" s="451"/>
      <c r="F132" s="454"/>
      <c r="G132" s="454"/>
      <c r="H132" s="471"/>
      <c r="I132" s="473"/>
      <c r="J132" s="473"/>
      <c r="K132" s="471"/>
      <c r="L132" s="44"/>
      <c r="M132" s="44"/>
      <c r="N132" s="476"/>
      <c r="O132" s="46"/>
      <c r="P132" s="46"/>
      <c r="Q132" s="47"/>
      <c r="R132" s="47"/>
      <c r="S132" s="47"/>
      <c r="T132" s="48"/>
      <c r="U132" s="462"/>
      <c r="V132" s="462"/>
      <c r="W132" s="36"/>
      <c r="X132" s="49"/>
      <c r="Y132" s="50"/>
      <c r="Z132" s="50"/>
      <c r="AA132" s="50"/>
      <c r="AB132" s="51"/>
      <c r="AC132" s="52"/>
      <c r="AD132" s="465"/>
      <c r="AE132" s="53"/>
      <c r="AF132" s="54"/>
      <c r="AG132" s="55"/>
      <c r="AH132" s="468"/>
      <c r="AI132" s="468"/>
      <c r="AJ132" s="55"/>
      <c r="AK132" s="1"/>
      <c r="AL132" s="438"/>
      <c r="AM132" s="438"/>
      <c r="AN132" s="438"/>
      <c r="AO132" s="438"/>
      <c r="AP132" s="438"/>
      <c r="AQ132" s="438"/>
      <c r="AR132" s="438"/>
      <c r="AS132" s="438"/>
      <c r="AT132" s="29"/>
      <c r="AU132" s="30"/>
      <c r="AV132" s="30"/>
      <c r="AW132" s="30"/>
      <c r="AX132" s="30"/>
    </row>
    <row r="133" spans="1:50" ht="11.25" customHeight="1">
      <c r="A133" s="1"/>
      <c r="B133" s="442"/>
      <c r="C133" s="445"/>
      <c r="D133" s="448"/>
      <c r="E133" s="451"/>
      <c r="F133" s="454"/>
      <c r="G133" s="454"/>
      <c r="H133" s="471"/>
      <c r="I133" s="473"/>
      <c r="J133" s="473"/>
      <c r="K133" s="471"/>
      <c r="L133" s="44"/>
      <c r="M133" s="44"/>
      <c r="N133" s="478"/>
      <c r="O133" s="57">
        <f t="shared" ref="O133" si="151">O125+O129</f>
        <v>0.33333333333333331</v>
      </c>
      <c r="P133" s="57">
        <f t="shared" ref="P133" si="152">SUM(P125:P129)</f>
        <v>0.33333333333333331</v>
      </c>
      <c r="Q133" s="47"/>
      <c r="R133" s="47"/>
      <c r="S133" s="47"/>
      <c r="T133" s="48"/>
      <c r="U133" s="462"/>
      <c r="V133" s="462"/>
      <c r="W133" s="36"/>
      <c r="X133" s="49"/>
      <c r="Y133" s="49"/>
      <c r="Z133" s="49"/>
      <c r="AA133" s="49"/>
      <c r="AB133" s="51"/>
      <c r="AC133" s="52"/>
      <c r="AD133" s="465"/>
      <c r="AE133" s="53"/>
      <c r="AF133" s="59"/>
      <c r="AG133" s="60"/>
      <c r="AH133" s="468"/>
      <c r="AI133" s="468"/>
      <c r="AJ133" s="55"/>
      <c r="AK133" s="1"/>
      <c r="AL133" s="438"/>
      <c r="AM133" s="438"/>
      <c r="AN133" s="438"/>
      <c r="AO133" s="438"/>
      <c r="AP133" s="438"/>
      <c r="AQ133" s="438"/>
      <c r="AR133" s="438"/>
      <c r="AS133" s="438"/>
      <c r="AT133" s="29"/>
      <c r="AU133" s="30"/>
      <c r="AV133" s="30"/>
      <c r="AW133" s="30"/>
      <c r="AX133" s="30"/>
    </row>
    <row r="134" spans="1:50" ht="11.25" customHeight="1">
      <c r="A134" s="1"/>
      <c r="B134" s="443"/>
      <c r="C134" s="446"/>
      <c r="D134" s="449"/>
      <c r="E134" s="452"/>
      <c r="F134" s="455"/>
      <c r="G134" s="455"/>
      <c r="H134" s="472"/>
      <c r="I134" s="474"/>
      <c r="J134" s="474"/>
      <c r="K134" s="472"/>
      <c r="L134" s="61"/>
      <c r="M134" s="61"/>
      <c r="N134" s="477"/>
      <c r="O134" s="62"/>
      <c r="P134" s="62"/>
      <c r="Q134" s="63"/>
      <c r="R134" s="63"/>
      <c r="S134" s="63"/>
      <c r="T134" s="64"/>
      <c r="U134" s="463"/>
      <c r="V134" s="463"/>
      <c r="W134" s="65"/>
      <c r="X134" s="66"/>
      <c r="Y134" s="67"/>
      <c r="Z134" s="67"/>
      <c r="AA134" s="67"/>
      <c r="AB134" s="68"/>
      <c r="AC134" s="69"/>
      <c r="AD134" s="466"/>
      <c r="AE134" s="70"/>
      <c r="AF134" s="71"/>
      <c r="AG134" s="72"/>
      <c r="AH134" s="469"/>
      <c r="AI134" s="469"/>
      <c r="AJ134" s="72"/>
      <c r="AK134" s="1"/>
      <c r="AL134" s="439"/>
      <c r="AM134" s="439"/>
      <c r="AN134" s="439"/>
      <c r="AO134" s="439"/>
      <c r="AP134" s="439"/>
      <c r="AQ134" s="439"/>
      <c r="AR134" s="439"/>
      <c r="AS134" s="439"/>
      <c r="AT134" s="29"/>
      <c r="AU134" s="30"/>
      <c r="AV134" s="30"/>
      <c r="AW134" s="30"/>
      <c r="AX134" s="30"/>
    </row>
    <row r="135" spans="1:50">
      <c r="A135" s="1"/>
      <c r="B135" s="441">
        <f>IF(B125="","",IF(B125+1&gt;$AB$3,"",B125+1))</f>
        <v>44664</v>
      </c>
      <c r="C135" s="444">
        <f>IF(C125="","",IF(C125+1&gt;$AB$3,"",C125+1))</f>
        <v>44664</v>
      </c>
      <c r="D135" s="447">
        <f>IF(C135="","",WEEKDAY(C135,1))</f>
        <v>4</v>
      </c>
      <c r="E135" s="450" t="str">
        <f>IF($D135="","",IF(NOT(ISERROR(MATCH($C135,祝日テーブル,0)=TRUE)),IF($D135=1,"法定","法定外"),IF($D135=1,"法定",IF($D135=7,"法定外",""))))</f>
        <v/>
      </c>
      <c r="F135" s="453">
        <v>900</v>
      </c>
      <c r="G135" s="453">
        <v>1745</v>
      </c>
      <c r="H135" s="470">
        <v>4.1666666666666664E-2</v>
      </c>
      <c r="I135" s="473"/>
      <c r="J135" s="473"/>
      <c r="K135" s="471"/>
      <c r="L135" s="32">
        <f t="shared" ref="L135" si="153">MOD(F135,100)+FLOOR(F135/100,1)*60</f>
        <v>540</v>
      </c>
      <c r="M135" s="32"/>
      <c r="N135" s="475"/>
      <c r="O135" s="33">
        <f t="shared" ref="O135" si="154">IF($I$3= "協力会社",M139,IF(L139&gt;=$L$12,$M$12,IF(L139&gt;0,M139,0)))</f>
        <v>0.32291666666666669</v>
      </c>
      <c r="P135" s="33">
        <f t="shared" ref="P135" si="155">SUMIF(AB135:AB144,"1.00",AC135:AC144)+SUMIF(AB135:AB144,"振休取得",AC135:AC144)</f>
        <v>0.32291666666666669</v>
      </c>
      <c r="Q135" s="34"/>
      <c r="R135" s="34"/>
      <c r="S135" s="34"/>
      <c r="T135" s="35"/>
      <c r="U135" s="462"/>
      <c r="V135" s="462"/>
      <c r="W135" s="36" t="s">
        <v>649</v>
      </c>
      <c r="X135" s="37" t="s">
        <v>608</v>
      </c>
      <c r="Y135" s="37"/>
      <c r="Z135" s="37" t="s">
        <v>650</v>
      </c>
      <c r="AA135" s="37"/>
      <c r="AB135" s="38" t="s">
        <v>121</v>
      </c>
      <c r="AC135" s="39">
        <v>0.32291666666666669</v>
      </c>
      <c r="AD135" s="464"/>
      <c r="AE135" s="40"/>
      <c r="AF135" s="41"/>
      <c r="AG135" s="42"/>
      <c r="AH135" s="467"/>
      <c r="AI135" s="467" t="s">
        <v>653</v>
      </c>
      <c r="AJ135" s="73"/>
      <c r="AK135" s="1"/>
      <c r="AL135" s="437"/>
      <c r="AM135" s="437"/>
      <c r="AN135" s="437"/>
      <c r="AO135" s="437"/>
      <c r="AP135" s="437"/>
      <c r="AQ135" s="437"/>
      <c r="AR135" s="437"/>
      <c r="AS135" s="437"/>
      <c r="AT135" s="29"/>
      <c r="AU135" s="30"/>
      <c r="AV135" s="30"/>
      <c r="AW135" s="30"/>
      <c r="AX135" s="30"/>
    </row>
    <row r="136" spans="1:50" ht="11.25" customHeight="1">
      <c r="A136" s="1"/>
      <c r="B136" s="442"/>
      <c r="C136" s="445"/>
      <c r="D136" s="448"/>
      <c r="E136" s="451"/>
      <c r="F136" s="454"/>
      <c r="G136" s="454"/>
      <c r="H136" s="471"/>
      <c r="I136" s="473"/>
      <c r="J136" s="473"/>
      <c r="K136" s="471"/>
      <c r="L136" s="44">
        <f t="shared" ref="L136" si="156">MOD(G135,100)+FLOOR(G135/100,1)*60</f>
        <v>1065</v>
      </c>
      <c r="M136" s="44"/>
      <c r="N136" s="476"/>
      <c r="O136" s="45"/>
      <c r="P136" s="46"/>
      <c r="Q136" s="47"/>
      <c r="R136" s="47"/>
      <c r="S136" s="47"/>
      <c r="T136" s="48"/>
      <c r="U136" s="462"/>
      <c r="V136" s="462"/>
      <c r="W136" s="36"/>
      <c r="X136" s="49"/>
      <c r="Y136" s="50"/>
      <c r="Z136" s="50"/>
      <c r="AA136" s="50"/>
      <c r="AB136" s="51"/>
      <c r="AC136" s="52"/>
      <c r="AD136" s="465"/>
      <c r="AE136" s="53"/>
      <c r="AF136" s="54"/>
      <c r="AG136" s="55"/>
      <c r="AH136" s="468"/>
      <c r="AI136" s="468"/>
      <c r="AJ136" s="55"/>
      <c r="AK136" s="1"/>
      <c r="AL136" s="438"/>
      <c r="AM136" s="438"/>
      <c r="AN136" s="438"/>
      <c r="AO136" s="438"/>
      <c r="AP136" s="438"/>
      <c r="AQ136" s="438"/>
      <c r="AR136" s="438"/>
      <c r="AS136" s="438"/>
      <c r="AT136" s="29"/>
      <c r="AU136" s="30"/>
      <c r="AV136" s="30"/>
      <c r="AW136" s="30"/>
      <c r="AX136" s="30"/>
    </row>
    <row r="137" spans="1:50" ht="11.25" customHeight="1">
      <c r="A137" s="1"/>
      <c r="B137" s="442"/>
      <c r="C137" s="445"/>
      <c r="D137" s="448"/>
      <c r="E137" s="451"/>
      <c r="F137" s="454"/>
      <c r="G137" s="454"/>
      <c r="H137" s="471"/>
      <c r="I137" s="473"/>
      <c r="J137" s="473"/>
      <c r="K137" s="471"/>
      <c r="L137" s="44">
        <f t="shared" ref="L137" si="157">L136-L135</f>
        <v>525</v>
      </c>
      <c r="M137" s="44"/>
      <c r="N137" s="476"/>
      <c r="O137" s="46"/>
      <c r="P137" s="45">
        <f t="shared" ref="P137" si="158">SUMIF(AB135:AB144,"有休",AC135:AC144)+SUMIF(AB135:AB144,"無給休",AC135:AC144)+SUMIF(AB135:AB144,"振休",AC135:AC144)+SUMIF(AB135:AB144,"特休",AC135:AC144)</f>
        <v>0</v>
      </c>
      <c r="Q137" s="47"/>
      <c r="R137" s="47"/>
      <c r="S137" s="47"/>
      <c r="T137" s="48"/>
      <c r="U137" s="462"/>
      <c r="V137" s="462"/>
      <c r="W137" s="36"/>
      <c r="X137" s="49"/>
      <c r="Y137" s="50"/>
      <c r="Z137" s="50"/>
      <c r="AA137" s="50"/>
      <c r="AB137" s="51"/>
      <c r="AC137" s="52"/>
      <c r="AD137" s="465"/>
      <c r="AE137" s="53"/>
      <c r="AF137" s="54"/>
      <c r="AG137" s="55"/>
      <c r="AH137" s="468"/>
      <c r="AI137" s="468"/>
      <c r="AJ137" s="54"/>
      <c r="AK137" s="1"/>
      <c r="AL137" s="438"/>
      <c r="AM137" s="438"/>
      <c r="AN137" s="438"/>
      <c r="AO137" s="438"/>
      <c r="AP137" s="438"/>
      <c r="AQ137" s="438"/>
      <c r="AR137" s="438"/>
      <c r="AS137" s="438"/>
      <c r="AT137" s="29"/>
      <c r="AU137" s="30"/>
      <c r="AV137" s="30"/>
      <c r="AW137" s="30"/>
      <c r="AX137" s="30"/>
    </row>
    <row r="138" spans="1:50" ht="11.25" customHeight="1">
      <c r="A138" s="1"/>
      <c r="B138" s="442"/>
      <c r="C138" s="445"/>
      <c r="D138" s="448"/>
      <c r="E138" s="451"/>
      <c r="F138" s="454"/>
      <c r="G138" s="454"/>
      <c r="H138" s="471"/>
      <c r="I138" s="473"/>
      <c r="J138" s="473"/>
      <c r="K138" s="471"/>
      <c r="L138" s="44">
        <f t="shared" ref="L138" si="159">ROUNDUP(L137/60,2)</f>
        <v>8.75</v>
      </c>
      <c r="M138" s="44"/>
      <c r="N138" s="476"/>
      <c r="O138" s="46"/>
      <c r="P138" s="46"/>
      <c r="Q138" s="47"/>
      <c r="R138" s="47"/>
      <c r="S138" s="47"/>
      <c r="T138" s="48"/>
      <c r="U138" s="462"/>
      <c r="V138" s="462"/>
      <c r="W138" s="36"/>
      <c r="X138" s="49"/>
      <c r="Y138" s="50"/>
      <c r="Z138" s="50"/>
      <c r="AA138" s="50"/>
      <c r="AB138" s="51"/>
      <c r="AC138" s="52"/>
      <c r="AD138" s="465"/>
      <c r="AE138" s="53"/>
      <c r="AF138" s="54"/>
      <c r="AG138" s="55"/>
      <c r="AH138" s="468"/>
      <c r="AI138" s="468"/>
      <c r="AJ138" s="55"/>
      <c r="AK138" s="1"/>
      <c r="AL138" s="438"/>
      <c r="AM138" s="438"/>
      <c r="AN138" s="438"/>
      <c r="AO138" s="438"/>
      <c r="AP138" s="438"/>
      <c r="AQ138" s="438"/>
      <c r="AR138" s="438"/>
      <c r="AS138" s="438"/>
      <c r="AT138" s="29"/>
      <c r="AU138" s="30"/>
      <c r="AV138" s="30"/>
      <c r="AW138" s="30"/>
      <c r="AX138" s="30"/>
    </row>
    <row r="139" spans="1:50" ht="11.25" customHeight="1">
      <c r="A139" s="1"/>
      <c r="B139" s="442"/>
      <c r="C139" s="445"/>
      <c r="D139" s="448"/>
      <c r="E139" s="451"/>
      <c r="F139" s="454"/>
      <c r="G139" s="454"/>
      <c r="H139" s="471"/>
      <c r="I139" s="473"/>
      <c r="J139" s="473"/>
      <c r="K139" s="471"/>
      <c r="L139" s="44">
        <f t="shared" ref="L139" si="160">IF(L138&gt;0,L138-HOUR(H135)-MINUTE(H135)/60,0)</f>
        <v>7.75</v>
      </c>
      <c r="M139" s="56">
        <f t="shared" ref="M139" si="161">TIME(L139-MOD(L139,1),MOD(L139,1)*60,0)</f>
        <v>0.32291666666666669</v>
      </c>
      <c r="N139" s="476"/>
      <c r="O139" s="45">
        <f t="shared" ref="O139" si="162">M141</f>
        <v>0</v>
      </c>
      <c r="P139" s="45">
        <f t="shared" ref="P139" si="163">SUMIF(AB135:AB144,"1.25",AC135:AC144)+SUMIF(AB135:AB144,"他時間外",AC135:AC144)+SUMIF(AB135:AB144,"1.35",AC135:AC144)</f>
        <v>0</v>
      </c>
      <c r="Q139" s="47"/>
      <c r="R139" s="47"/>
      <c r="S139" s="47"/>
      <c r="T139" s="48"/>
      <c r="U139" s="462"/>
      <c r="V139" s="462"/>
      <c r="W139" s="36"/>
      <c r="X139" s="49"/>
      <c r="Y139" s="50"/>
      <c r="Z139" s="50"/>
      <c r="AA139" s="50"/>
      <c r="AB139" s="51"/>
      <c r="AC139" s="52"/>
      <c r="AD139" s="465"/>
      <c r="AE139" s="53"/>
      <c r="AF139" s="54"/>
      <c r="AG139" s="55"/>
      <c r="AH139" s="468"/>
      <c r="AI139" s="468"/>
      <c r="AJ139" s="55"/>
      <c r="AK139" s="1"/>
      <c r="AL139" s="438"/>
      <c r="AM139" s="438"/>
      <c r="AN139" s="438"/>
      <c r="AO139" s="438"/>
      <c r="AP139" s="438"/>
      <c r="AQ139" s="438"/>
      <c r="AR139" s="438"/>
      <c r="AS139" s="438"/>
      <c r="AT139" s="29"/>
      <c r="AU139" s="30"/>
      <c r="AV139" s="30"/>
      <c r="AW139" s="30"/>
      <c r="AX139" s="30"/>
    </row>
    <row r="140" spans="1:50" ht="11.25" customHeight="1">
      <c r="A140" s="1"/>
      <c r="B140" s="442"/>
      <c r="C140" s="445"/>
      <c r="D140" s="448"/>
      <c r="E140" s="451"/>
      <c r="F140" s="454"/>
      <c r="G140" s="454"/>
      <c r="H140" s="471"/>
      <c r="I140" s="473"/>
      <c r="J140" s="473"/>
      <c r="K140" s="471"/>
      <c r="L140" s="44">
        <f t="shared" ref="L140" si="164">L139-$L$12</f>
        <v>0</v>
      </c>
      <c r="M140" s="44"/>
      <c r="N140" s="476"/>
      <c r="O140" s="46"/>
      <c r="P140" s="46"/>
      <c r="Q140" s="47"/>
      <c r="R140" s="47"/>
      <c r="S140" s="47"/>
      <c r="T140" s="48"/>
      <c r="U140" s="462"/>
      <c r="V140" s="462"/>
      <c r="W140" s="36"/>
      <c r="X140" s="49"/>
      <c r="Y140" s="50"/>
      <c r="Z140" s="50"/>
      <c r="AA140" s="50"/>
      <c r="AB140" s="51"/>
      <c r="AC140" s="52"/>
      <c r="AD140" s="465"/>
      <c r="AE140" s="53"/>
      <c r="AF140" s="54"/>
      <c r="AG140" s="55"/>
      <c r="AH140" s="468"/>
      <c r="AI140" s="468"/>
      <c r="AJ140" s="55"/>
      <c r="AK140" s="1"/>
      <c r="AL140" s="438"/>
      <c r="AM140" s="438"/>
      <c r="AN140" s="438"/>
      <c r="AO140" s="438"/>
      <c r="AP140" s="438"/>
      <c r="AQ140" s="438"/>
      <c r="AR140" s="438"/>
      <c r="AS140" s="438"/>
      <c r="AT140" s="29"/>
      <c r="AU140" s="30"/>
      <c r="AV140" s="30"/>
      <c r="AW140" s="30"/>
      <c r="AX140" s="30"/>
    </row>
    <row r="141" spans="1:50" ht="11.25" customHeight="1">
      <c r="A141" s="1"/>
      <c r="B141" s="442"/>
      <c r="C141" s="445"/>
      <c r="D141" s="448"/>
      <c r="E141" s="451"/>
      <c r="F141" s="454"/>
      <c r="G141" s="454"/>
      <c r="H141" s="471"/>
      <c r="I141" s="473"/>
      <c r="J141" s="473"/>
      <c r="K141" s="471"/>
      <c r="L141" s="44">
        <f t="shared" ref="L141" si="165">IF($I$3= "協力会社",0,IF(L140&gt;0,L140,0))</f>
        <v>0</v>
      </c>
      <c r="M141" s="56">
        <f t="shared" ref="M141" si="166">TIME(L141-MOD(L141,1),MOD(L141,1)*60,0)</f>
        <v>0</v>
      </c>
      <c r="N141" s="476"/>
      <c r="O141" s="46"/>
      <c r="P141" s="45">
        <f t="shared" ref="P141" si="167">SUMIF(AB135:AB144,"0.25深夜",AC135:AC144)</f>
        <v>0</v>
      </c>
      <c r="Q141" s="47"/>
      <c r="R141" s="47"/>
      <c r="S141" s="47"/>
      <c r="T141" s="48"/>
      <c r="U141" s="462"/>
      <c r="V141" s="462"/>
      <c r="W141" s="36"/>
      <c r="X141" s="49"/>
      <c r="Y141" s="50"/>
      <c r="Z141" s="50"/>
      <c r="AA141" s="50"/>
      <c r="AB141" s="51"/>
      <c r="AC141" s="52"/>
      <c r="AD141" s="465"/>
      <c r="AE141" s="53"/>
      <c r="AF141" s="54"/>
      <c r="AG141" s="55"/>
      <c r="AH141" s="468"/>
      <c r="AI141" s="468"/>
      <c r="AJ141" s="55"/>
      <c r="AK141" s="1"/>
      <c r="AL141" s="438"/>
      <c r="AM141" s="438"/>
      <c r="AN141" s="438"/>
      <c r="AO141" s="438"/>
      <c r="AP141" s="438"/>
      <c r="AQ141" s="438"/>
      <c r="AR141" s="438"/>
      <c r="AS141" s="438"/>
      <c r="AT141" s="29"/>
      <c r="AU141" s="30"/>
      <c r="AV141" s="30"/>
      <c r="AW141" s="30"/>
      <c r="AX141" s="30"/>
    </row>
    <row r="142" spans="1:50" ht="11.25" customHeight="1">
      <c r="A142" s="1"/>
      <c r="B142" s="442"/>
      <c r="C142" s="445"/>
      <c r="D142" s="448"/>
      <c r="E142" s="451"/>
      <c r="F142" s="454"/>
      <c r="G142" s="454"/>
      <c r="H142" s="471"/>
      <c r="I142" s="473"/>
      <c r="J142" s="473"/>
      <c r="K142" s="471"/>
      <c r="L142" s="44"/>
      <c r="M142" s="44"/>
      <c r="N142" s="476"/>
      <c r="O142" s="46"/>
      <c r="P142" s="46"/>
      <c r="Q142" s="47"/>
      <c r="R142" s="47"/>
      <c r="S142" s="47"/>
      <c r="T142" s="48"/>
      <c r="U142" s="462"/>
      <c r="V142" s="462"/>
      <c r="W142" s="36"/>
      <c r="X142" s="49"/>
      <c r="Y142" s="50"/>
      <c r="Z142" s="50"/>
      <c r="AA142" s="50"/>
      <c r="AB142" s="51"/>
      <c r="AC142" s="52"/>
      <c r="AD142" s="465"/>
      <c r="AE142" s="53"/>
      <c r="AF142" s="54"/>
      <c r="AG142" s="55"/>
      <c r="AH142" s="468"/>
      <c r="AI142" s="468"/>
      <c r="AJ142" s="55"/>
      <c r="AK142" s="1"/>
      <c r="AL142" s="438"/>
      <c r="AM142" s="438"/>
      <c r="AN142" s="438"/>
      <c r="AO142" s="438"/>
      <c r="AP142" s="438"/>
      <c r="AQ142" s="438"/>
      <c r="AR142" s="438"/>
      <c r="AS142" s="438"/>
      <c r="AT142" s="29"/>
      <c r="AU142" s="30"/>
      <c r="AV142" s="30"/>
      <c r="AW142" s="30"/>
      <c r="AX142" s="30"/>
    </row>
    <row r="143" spans="1:50" ht="11.25" customHeight="1">
      <c r="A143" s="1"/>
      <c r="B143" s="442"/>
      <c r="C143" s="445"/>
      <c r="D143" s="448"/>
      <c r="E143" s="451"/>
      <c r="F143" s="454"/>
      <c r="G143" s="454"/>
      <c r="H143" s="471"/>
      <c r="I143" s="473"/>
      <c r="J143" s="473"/>
      <c r="K143" s="471"/>
      <c r="L143" s="44"/>
      <c r="M143" s="44"/>
      <c r="N143" s="478"/>
      <c r="O143" s="57">
        <f t="shared" ref="O143" si="168">O135+O139</f>
        <v>0.32291666666666669</v>
      </c>
      <c r="P143" s="57">
        <f t="shared" ref="P143" si="169">SUM(P135:P139)</f>
        <v>0.32291666666666669</v>
      </c>
      <c r="Q143" s="47"/>
      <c r="R143" s="47"/>
      <c r="S143" s="47"/>
      <c r="T143" s="48"/>
      <c r="U143" s="462"/>
      <c r="V143" s="462"/>
      <c r="W143" s="36"/>
      <c r="X143" s="49"/>
      <c r="Y143" s="49"/>
      <c r="Z143" s="49"/>
      <c r="AA143" s="49"/>
      <c r="AB143" s="51"/>
      <c r="AC143" s="52"/>
      <c r="AD143" s="465"/>
      <c r="AE143" s="53"/>
      <c r="AF143" s="59"/>
      <c r="AG143" s="60"/>
      <c r="AH143" s="468"/>
      <c r="AI143" s="468"/>
      <c r="AJ143" s="55"/>
      <c r="AK143" s="1"/>
      <c r="AL143" s="438"/>
      <c r="AM143" s="438"/>
      <c r="AN143" s="438"/>
      <c r="AO143" s="438"/>
      <c r="AP143" s="438"/>
      <c r="AQ143" s="438"/>
      <c r="AR143" s="438"/>
      <c r="AS143" s="438"/>
      <c r="AT143" s="29"/>
      <c r="AU143" s="30"/>
      <c r="AV143" s="30"/>
      <c r="AW143" s="30"/>
      <c r="AX143" s="30"/>
    </row>
    <row r="144" spans="1:50" ht="11.25" customHeight="1">
      <c r="A144" s="1"/>
      <c r="B144" s="443"/>
      <c r="C144" s="446"/>
      <c r="D144" s="449"/>
      <c r="E144" s="452"/>
      <c r="F144" s="455"/>
      <c r="G144" s="455"/>
      <c r="H144" s="472"/>
      <c r="I144" s="474"/>
      <c r="J144" s="474"/>
      <c r="K144" s="472"/>
      <c r="L144" s="61"/>
      <c r="M144" s="61"/>
      <c r="N144" s="477"/>
      <c r="O144" s="62"/>
      <c r="P144" s="62"/>
      <c r="Q144" s="63"/>
      <c r="R144" s="63"/>
      <c r="S144" s="63"/>
      <c r="T144" s="64"/>
      <c r="U144" s="463"/>
      <c r="V144" s="463"/>
      <c r="W144" s="65"/>
      <c r="X144" s="66"/>
      <c r="Y144" s="67"/>
      <c r="Z144" s="67"/>
      <c r="AA144" s="67"/>
      <c r="AB144" s="68"/>
      <c r="AC144" s="69"/>
      <c r="AD144" s="466"/>
      <c r="AE144" s="70"/>
      <c r="AF144" s="71"/>
      <c r="AG144" s="72"/>
      <c r="AH144" s="469"/>
      <c r="AI144" s="469"/>
      <c r="AJ144" s="72"/>
      <c r="AK144" s="1"/>
      <c r="AL144" s="439"/>
      <c r="AM144" s="439"/>
      <c r="AN144" s="439"/>
      <c r="AO144" s="439"/>
      <c r="AP144" s="439"/>
      <c r="AQ144" s="439"/>
      <c r="AR144" s="439"/>
      <c r="AS144" s="439"/>
      <c r="AT144" s="29"/>
      <c r="AU144" s="30"/>
      <c r="AV144" s="30"/>
      <c r="AW144" s="30"/>
      <c r="AX144" s="30"/>
    </row>
    <row r="145" spans="1:50">
      <c r="A145" s="1"/>
      <c r="B145" s="441">
        <f>IF(B135="","",IF(B135+1&gt;$AB$3,"",B135+1))</f>
        <v>44665</v>
      </c>
      <c r="C145" s="444">
        <f>IF(C135="","",IF(C135+1&gt;$AB$3,"",C135+1))</f>
        <v>44665</v>
      </c>
      <c r="D145" s="447">
        <f>IF(C145="","",WEEKDAY(C145,1))</f>
        <v>5</v>
      </c>
      <c r="E145" s="450" t="str">
        <f>IF($D145="","",IF(NOT(ISERROR(MATCH($C145,祝日テーブル,0)=TRUE)),IF($D145=1,"法定","法定外"),IF($D145=1,"法定",IF($D145=7,"法定外",""))))</f>
        <v/>
      </c>
      <c r="F145" s="453">
        <v>800</v>
      </c>
      <c r="G145" s="453">
        <v>1700</v>
      </c>
      <c r="H145" s="470">
        <v>4.1666666666666664E-2</v>
      </c>
      <c r="I145" s="473"/>
      <c r="J145" s="473"/>
      <c r="K145" s="471"/>
      <c r="L145" s="32">
        <f t="shared" ref="L145" si="170">MOD(F145,100)+FLOOR(F145/100,1)*60</f>
        <v>480</v>
      </c>
      <c r="M145" s="32"/>
      <c r="N145" s="475"/>
      <c r="O145" s="33">
        <f t="shared" ref="O145" si="171">IF($I$3= "協力会社",M149,IF(L149&gt;=$L$12,$M$12,IF(L149&gt;0,M149,0)))</f>
        <v>0.33333333333333331</v>
      </c>
      <c r="P145" s="33">
        <f t="shared" ref="P145" si="172">SUMIF(AB145:AB154,"1.00",AC145:AC154)+SUMIF(AB145:AB154,"振休取得",AC145:AC154)</f>
        <v>0.33333333333333331</v>
      </c>
      <c r="Q145" s="34"/>
      <c r="R145" s="34"/>
      <c r="S145" s="34"/>
      <c r="T145" s="35"/>
      <c r="U145" s="462"/>
      <c r="V145" s="462"/>
      <c r="W145" s="36" t="s">
        <v>649</v>
      </c>
      <c r="X145" s="37" t="s">
        <v>608</v>
      </c>
      <c r="Y145" s="37"/>
      <c r="Z145" s="37" t="s">
        <v>650</v>
      </c>
      <c r="AA145" s="37"/>
      <c r="AB145" s="38" t="s">
        <v>121</v>
      </c>
      <c r="AC145" s="39">
        <v>0.33333333333333331</v>
      </c>
      <c r="AD145" s="464"/>
      <c r="AE145" s="40"/>
      <c r="AF145" s="41"/>
      <c r="AG145" s="42"/>
      <c r="AH145" s="467" t="s">
        <v>652</v>
      </c>
      <c r="AI145" s="467" t="s">
        <v>653</v>
      </c>
      <c r="AJ145" s="73"/>
      <c r="AK145" s="1"/>
      <c r="AL145" s="437"/>
      <c r="AM145" s="437"/>
      <c r="AN145" s="437"/>
      <c r="AO145" s="437"/>
      <c r="AP145" s="437"/>
      <c r="AQ145" s="437"/>
      <c r="AR145" s="437"/>
      <c r="AS145" s="437"/>
      <c r="AT145" s="29"/>
      <c r="AU145" s="30"/>
      <c r="AV145" s="30"/>
      <c r="AW145" s="30"/>
      <c r="AX145" s="30"/>
    </row>
    <row r="146" spans="1:50" ht="11.25" customHeight="1">
      <c r="A146" s="1"/>
      <c r="B146" s="442"/>
      <c r="C146" s="445"/>
      <c r="D146" s="448"/>
      <c r="E146" s="451"/>
      <c r="F146" s="454"/>
      <c r="G146" s="454"/>
      <c r="H146" s="471"/>
      <c r="I146" s="473"/>
      <c r="J146" s="473"/>
      <c r="K146" s="471"/>
      <c r="L146" s="44">
        <f t="shared" ref="L146" si="173">MOD(G145,100)+FLOOR(G145/100,1)*60</f>
        <v>1020</v>
      </c>
      <c r="M146" s="44"/>
      <c r="N146" s="476"/>
      <c r="O146" s="45"/>
      <c r="P146" s="46"/>
      <c r="Q146" s="47"/>
      <c r="R146" s="47"/>
      <c r="S146" s="47"/>
      <c r="T146" s="48"/>
      <c r="U146" s="462"/>
      <c r="V146" s="462"/>
      <c r="W146" s="36"/>
      <c r="X146" s="49"/>
      <c r="Y146" s="50"/>
      <c r="Z146" s="50"/>
      <c r="AA146" s="50"/>
      <c r="AB146" s="51"/>
      <c r="AC146" s="52"/>
      <c r="AD146" s="465"/>
      <c r="AE146" s="53"/>
      <c r="AF146" s="54"/>
      <c r="AG146" s="55"/>
      <c r="AH146" s="468"/>
      <c r="AI146" s="468"/>
      <c r="AJ146" s="55"/>
      <c r="AK146" s="1"/>
      <c r="AL146" s="438"/>
      <c r="AM146" s="438"/>
      <c r="AN146" s="438"/>
      <c r="AO146" s="438"/>
      <c r="AP146" s="438"/>
      <c r="AQ146" s="438"/>
      <c r="AR146" s="438"/>
      <c r="AS146" s="438"/>
      <c r="AT146" s="29"/>
      <c r="AU146" s="30"/>
      <c r="AV146" s="30"/>
      <c r="AW146" s="30"/>
      <c r="AX146" s="30"/>
    </row>
    <row r="147" spans="1:50" ht="11.25" customHeight="1">
      <c r="A147" s="1"/>
      <c r="B147" s="442"/>
      <c r="C147" s="445"/>
      <c r="D147" s="448"/>
      <c r="E147" s="451"/>
      <c r="F147" s="454"/>
      <c r="G147" s="454"/>
      <c r="H147" s="471"/>
      <c r="I147" s="473"/>
      <c r="J147" s="473"/>
      <c r="K147" s="471"/>
      <c r="L147" s="44">
        <f t="shared" ref="L147" si="174">L146-L145</f>
        <v>540</v>
      </c>
      <c r="M147" s="44"/>
      <c r="N147" s="476"/>
      <c r="O147" s="46"/>
      <c r="P147" s="45">
        <f t="shared" ref="P147" si="175">SUMIF(AB145:AB154,"有休",AC145:AC154)+SUMIF(AB145:AB154,"無給休",AC145:AC154)+SUMIF(AB145:AB154,"振休",AC145:AC154)+SUMIF(AB145:AB154,"特休",AC145:AC154)</f>
        <v>0</v>
      </c>
      <c r="Q147" s="47"/>
      <c r="R147" s="47"/>
      <c r="S147" s="47"/>
      <c r="T147" s="48"/>
      <c r="U147" s="462"/>
      <c r="V147" s="462"/>
      <c r="W147" s="36"/>
      <c r="X147" s="49"/>
      <c r="Y147" s="50"/>
      <c r="Z147" s="50"/>
      <c r="AA147" s="50"/>
      <c r="AB147" s="51"/>
      <c r="AC147" s="52"/>
      <c r="AD147" s="465"/>
      <c r="AE147" s="53"/>
      <c r="AF147" s="54"/>
      <c r="AG147" s="55"/>
      <c r="AH147" s="468"/>
      <c r="AI147" s="468"/>
      <c r="AJ147" s="54"/>
      <c r="AK147" s="1"/>
      <c r="AL147" s="438"/>
      <c r="AM147" s="438"/>
      <c r="AN147" s="438"/>
      <c r="AO147" s="438"/>
      <c r="AP147" s="438"/>
      <c r="AQ147" s="438"/>
      <c r="AR147" s="438"/>
      <c r="AS147" s="438"/>
      <c r="AT147" s="29"/>
      <c r="AU147" s="30"/>
      <c r="AV147" s="30"/>
      <c r="AW147" s="30"/>
      <c r="AX147" s="30"/>
    </row>
    <row r="148" spans="1:50" ht="11.25" customHeight="1">
      <c r="A148" s="1"/>
      <c r="B148" s="442"/>
      <c r="C148" s="445"/>
      <c r="D148" s="448"/>
      <c r="E148" s="451"/>
      <c r="F148" s="454"/>
      <c r="G148" s="454"/>
      <c r="H148" s="471"/>
      <c r="I148" s="473"/>
      <c r="J148" s="473"/>
      <c r="K148" s="471"/>
      <c r="L148" s="44">
        <f t="shared" ref="L148" si="176">ROUNDUP(L147/60,2)</f>
        <v>9</v>
      </c>
      <c r="M148" s="44"/>
      <c r="N148" s="476"/>
      <c r="O148" s="46"/>
      <c r="P148" s="46"/>
      <c r="Q148" s="47"/>
      <c r="R148" s="47"/>
      <c r="S148" s="47"/>
      <c r="T148" s="48"/>
      <c r="U148" s="462"/>
      <c r="V148" s="462"/>
      <c r="W148" s="36"/>
      <c r="X148" s="49"/>
      <c r="Y148" s="50"/>
      <c r="Z148" s="50"/>
      <c r="AA148" s="50"/>
      <c r="AB148" s="51"/>
      <c r="AC148" s="52"/>
      <c r="AD148" s="465"/>
      <c r="AE148" s="53"/>
      <c r="AF148" s="54"/>
      <c r="AG148" s="55"/>
      <c r="AH148" s="468"/>
      <c r="AI148" s="468"/>
      <c r="AJ148" s="55"/>
      <c r="AK148" s="1"/>
      <c r="AL148" s="438"/>
      <c r="AM148" s="438"/>
      <c r="AN148" s="438"/>
      <c r="AO148" s="438"/>
      <c r="AP148" s="438"/>
      <c r="AQ148" s="438"/>
      <c r="AR148" s="438"/>
      <c r="AS148" s="438"/>
      <c r="AT148" s="29"/>
      <c r="AU148" s="30"/>
      <c r="AV148" s="30"/>
      <c r="AW148" s="30"/>
      <c r="AX148" s="30"/>
    </row>
    <row r="149" spans="1:50" ht="11.25" customHeight="1">
      <c r="A149" s="1"/>
      <c r="B149" s="442"/>
      <c r="C149" s="445"/>
      <c r="D149" s="448"/>
      <c r="E149" s="451"/>
      <c r="F149" s="454"/>
      <c r="G149" s="454"/>
      <c r="H149" s="471"/>
      <c r="I149" s="473"/>
      <c r="J149" s="473"/>
      <c r="K149" s="471"/>
      <c r="L149" s="44">
        <f t="shared" ref="L149" si="177">IF(L148&gt;0,L148-HOUR(H145)-MINUTE(H145)/60,0)</f>
        <v>8</v>
      </c>
      <c r="M149" s="56">
        <f t="shared" ref="M149" si="178">TIME(L149-MOD(L149,1),MOD(L149,1)*60,0)</f>
        <v>0.33333333333333331</v>
      </c>
      <c r="N149" s="476"/>
      <c r="O149" s="45">
        <f t="shared" ref="O149" si="179">M151</f>
        <v>0</v>
      </c>
      <c r="P149" s="45">
        <f t="shared" ref="P149" si="180">SUMIF(AB145:AB154,"1.25",AC145:AC154)+SUMIF(AB145:AB154,"他時間外",AC145:AC154)+SUMIF(AB145:AB154,"1.35",AC145:AC154)</f>
        <v>0</v>
      </c>
      <c r="Q149" s="47"/>
      <c r="R149" s="47"/>
      <c r="S149" s="47"/>
      <c r="T149" s="48"/>
      <c r="U149" s="462"/>
      <c r="V149" s="462"/>
      <c r="W149" s="36"/>
      <c r="X149" s="49"/>
      <c r="Y149" s="50"/>
      <c r="Z149" s="50"/>
      <c r="AA149" s="50"/>
      <c r="AB149" s="51"/>
      <c r="AC149" s="52"/>
      <c r="AD149" s="465"/>
      <c r="AE149" s="53"/>
      <c r="AF149" s="54"/>
      <c r="AG149" s="55"/>
      <c r="AH149" s="468"/>
      <c r="AI149" s="468"/>
      <c r="AJ149" s="55"/>
      <c r="AK149" s="1"/>
      <c r="AL149" s="438"/>
      <c r="AM149" s="438"/>
      <c r="AN149" s="438"/>
      <c r="AO149" s="438"/>
      <c r="AP149" s="438"/>
      <c r="AQ149" s="438"/>
      <c r="AR149" s="438"/>
      <c r="AS149" s="438"/>
      <c r="AT149" s="29"/>
      <c r="AU149" s="30"/>
      <c r="AV149" s="30"/>
      <c r="AW149" s="30"/>
      <c r="AX149" s="30"/>
    </row>
    <row r="150" spans="1:50" ht="11.25" customHeight="1">
      <c r="A150" s="1"/>
      <c r="B150" s="442"/>
      <c r="C150" s="445"/>
      <c r="D150" s="448"/>
      <c r="E150" s="451"/>
      <c r="F150" s="454"/>
      <c r="G150" s="454"/>
      <c r="H150" s="471"/>
      <c r="I150" s="473"/>
      <c r="J150" s="473"/>
      <c r="K150" s="471"/>
      <c r="L150" s="44">
        <f t="shared" ref="L150" si="181">L149-$L$12</f>
        <v>0.25</v>
      </c>
      <c r="M150" s="44"/>
      <c r="N150" s="476"/>
      <c r="O150" s="46"/>
      <c r="P150" s="46"/>
      <c r="Q150" s="47"/>
      <c r="R150" s="47"/>
      <c r="S150" s="47"/>
      <c r="T150" s="48"/>
      <c r="U150" s="462"/>
      <c r="V150" s="462"/>
      <c r="W150" s="36"/>
      <c r="X150" s="49"/>
      <c r="Y150" s="50"/>
      <c r="Z150" s="50"/>
      <c r="AA150" s="50"/>
      <c r="AB150" s="51"/>
      <c r="AC150" s="52"/>
      <c r="AD150" s="465"/>
      <c r="AE150" s="53"/>
      <c r="AF150" s="54"/>
      <c r="AG150" s="55"/>
      <c r="AH150" s="468"/>
      <c r="AI150" s="468"/>
      <c r="AJ150" s="55"/>
      <c r="AK150" s="1"/>
      <c r="AL150" s="438"/>
      <c r="AM150" s="438"/>
      <c r="AN150" s="438"/>
      <c r="AO150" s="438"/>
      <c r="AP150" s="438"/>
      <c r="AQ150" s="438"/>
      <c r="AR150" s="438"/>
      <c r="AS150" s="438"/>
      <c r="AT150" s="29"/>
      <c r="AU150" s="30"/>
      <c r="AV150" s="30"/>
      <c r="AW150" s="30"/>
      <c r="AX150" s="30"/>
    </row>
    <row r="151" spans="1:50" ht="11.25" customHeight="1">
      <c r="A151" s="1"/>
      <c r="B151" s="442"/>
      <c r="C151" s="445"/>
      <c r="D151" s="448"/>
      <c r="E151" s="451"/>
      <c r="F151" s="454"/>
      <c r="G151" s="454"/>
      <c r="H151" s="471"/>
      <c r="I151" s="473"/>
      <c r="J151" s="473"/>
      <c r="K151" s="471"/>
      <c r="L151" s="44">
        <f t="shared" ref="L151" si="182">IF($I$3= "協力会社",0,IF(L150&gt;0,L150,0))</f>
        <v>0</v>
      </c>
      <c r="M151" s="56">
        <f t="shared" ref="M151" si="183">TIME(L151-MOD(L151,1),MOD(L151,1)*60,0)</f>
        <v>0</v>
      </c>
      <c r="N151" s="476"/>
      <c r="O151" s="46"/>
      <c r="P151" s="45">
        <f t="shared" ref="P151" si="184">SUMIF(AB145:AB154,"0.25深夜",AC145:AC154)</f>
        <v>0</v>
      </c>
      <c r="Q151" s="47"/>
      <c r="R151" s="47"/>
      <c r="S151" s="47"/>
      <c r="T151" s="48"/>
      <c r="U151" s="462"/>
      <c r="V151" s="462"/>
      <c r="W151" s="36"/>
      <c r="X151" s="49"/>
      <c r="Y151" s="50"/>
      <c r="Z151" s="50"/>
      <c r="AA151" s="50"/>
      <c r="AB151" s="51"/>
      <c r="AC151" s="52"/>
      <c r="AD151" s="465"/>
      <c r="AE151" s="53"/>
      <c r="AF151" s="54"/>
      <c r="AG151" s="55"/>
      <c r="AH151" s="468"/>
      <c r="AI151" s="468"/>
      <c r="AJ151" s="55"/>
      <c r="AK151" s="1"/>
      <c r="AL151" s="438"/>
      <c r="AM151" s="438"/>
      <c r="AN151" s="438"/>
      <c r="AO151" s="438"/>
      <c r="AP151" s="438"/>
      <c r="AQ151" s="438"/>
      <c r="AR151" s="438"/>
      <c r="AS151" s="438"/>
      <c r="AT151" s="29"/>
      <c r="AU151" s="30"/>
      <c r="AV151" s="30"/>
      <c r="AW151" s="30"/>
      <c r="AX151" s="30"/>
    </row>
    <row r="152" spans="1:50" ht="11.25" customHeight="1">
      <c r="A152" s="1"/>
      <c r="B152" s="442"/>
      <c r="C152" s="445"/>
      <c r="D152" s="448"/>
      <c r="E152" s="451"/>
      <c r="F152" s="454"/>
      <c r="G152" s="454"/>
      <c r="H152" s="471"/>
      <c r="I152" s="473"/>
      <c r="J152" s="473"/>
      <c r="K152" s="471"/>
      <c r="L152" s="44"/>
      <c r="M152" s="44"/>
      <c r="N152" s="476"/>
      <c r="O152" s="46"/>
      <c r="P152" s="46"/>
      <c r="Q152" s="47"/>
      <c r="R152" s="47"/>
      <c r="S152" s="47"/>
      <c r="T152" s="48"/>
      <c r="U152" s="462"/>
      <c r="V152" s="462"/>
      <c r="W152" s="36"/>
      <c r="X152" s="49"/>
      <c r="Y152" s="50"/>
      <c r="Z152" s="50"/>
      <c r="AA152" s="50"/>
      <c r="AB152" s="51"/>
      <c r="AC152" s="52"/>
      <c r="AD152" s="465"/>
      <c r="AE152" s="53"/>
      <c r="AF152" s="54"/>
      <c r="AG152" s="55"/>
      <c r="AH152" s="468"/>
      <c r="AI152" s="468"/>
      <c r="AJ152" s="55"/>
      <c r="AK152" s="1"/>
      <c r="AL152" s="438"/>
      <c r="AM152" s="438"/>
      <c r="AN152" s="438"/>
      <c r="AO152" s="438"/>
      <c r="AP152" s="438"/>
      <c r="AQ152" s="438"/>
      <c r="AR152" s="438"/>
      <c r="AS152" s="438"/>
      <c r="AT152" s="29"/>
      <c r="AU152" s="30"/>
      <c r="AV152" s="30"/>
      <c r="AW152" s="30"/>
      <c r="AX152" s="30"/>
    </row>
    <row r="153" spans="1:50" ht="11.25" customHeight="1">
      <c r="A153" s="1"/>
      <c r="B153" s="442"/>
      <c r="C153" s="445"/>
      <c r="D153" s="448"/>
      <c r="E153" s="451"/>
      <c r="F153" s="454"/>
      <c r="G153" s="454"/>
      <c r="H153" s="471"/>
      <c r="I153" s="473"/>
      <c r="J153" s="473"/>
      <c r="K153" s="471"/>
      <c r="L153" s="44"/>
      <c r="M153" s="44"/>
      <c r="N153" s="478"/>
      <c r="O153" s="57">
        <f t="shared" ref="O153" si="185">O145+O149</f>
        <v>0.33333333333333331</v>
      </c>
      <c r="P153" s="57">
        <f t="shared" ref="P153" si="186">SUM(P145:P149)</f>
        <v>0.33333333333333331</v>
      </c>
      <c r="Q153" s="47"/>
      <c r="R153" s="47"/>
      <c r="S153" s="47"/>
      <c r="T153" s="48"/>
      <c r="U153" s="462"/>
      <c r="V153" s="462"/>
      <c r="W153" s="36"/>
      <c r="X153" s="49"/>
      <c r="Y153" s="49"/>
      <c r="Z153" s="49"/>
      <c r="AA153" s="49"/>
      <c r="AB153" s="51"/>
      <c r="AC153" s="52"/>
      <c r="AD153" s="465"/>
      <c r="AE153" s="53"/>
      <c r="AF153" s="59"/>
      <c r="AG153" s="60"/>
      <c r="AH153" s="468"/>
      <c r="AI153" s="468"/>
      <c r="AJ153" s="55"/>
      <c r="AK153" s="1"/>
      <c r="AL153" s="438"/>
      <c r="AM153" s="438"/>
      <c r="AN153" s="438"/>
      <c r="AO153" s="438"/>
      <c r="AP153" s="438"/>
      <c r="AQ153" s="438"/>
      <c r="AR153" s="438"/>
      <c r="AS153" s="438"/>
      <c r="AT153" s="29"/>
      <c r="AU153" s="30"/>
      <c r="AV153" s="30"/>
      <c r="AW153" s="30"/>
      <c r="AX153" s="30"/>
    </row>
    <row r="154" spans="1:50" ht="11.25" customHeight="1">
      <c r="A154" s="1"/>
      <c r="B154" s="443"/>
      <c r="C154" s="446"/>
      <c r="D154" s="449"/>
      <c r="E154" s="452"/>
      <c r="F154" s="455"/>
      <c r="G154" s="455"/>
      <c r="H154" s="472"/>
      <c r="I154" s="474"/>
      <c r="J154" s="474"/>
      <c r="K154" s="472"/>
      <c r="L154" s="61"/>
      <c r="M154" s="61"/>
      <c r="N154" s="477"/>
      <c r="O154" s="62"/>
      <c r="P154" s="62"/>
      <c r="Q154" s="63"/>
      <c r="R154" s="63"/>
      <c r="S154" s="63"/>
      <c r="T154" s="64"/>
      <c r="U154" s="463"/>
      <c r="V154" s="463"/>
      <c r="W154" s="65"/>
      <c r="X154" s="66"/>
      <c r="Y154" s="67"/>
      <c r="Z154" s="67"/>
      <c r="AA154" s="67"/>
      <c r="AB154" s="68"/>
      <c r="AC154" s="69"/>
      <c r="AD154" s="466"/>
      <c r="AE154" s="70"/>
      <c r="AF154" s="71"/>
      <c r="AG154" s="72"/>
      <c r="AH154" s="469"/>
      <c r="AI154" s="469"/>
      <c r="AJ154" s="72"/>
      <c r="AK154" s="1"/>
      <c r="AL154" s="439"/>
      <c r="AM154" s="439"/>
      <c r="AN154" s="439"/>
      <c r="AO154" s="439"/>
      <c r="AP154" s="439"/>
      <c r="AQ154" s="439"/>
      <c r="AR154" s="439"/>
      <c r="AS154" s="439"/>
      <c r="AT154" s="29"/>
      <c r="AU154" s="30"/>
      <c r="AV154" s="30"/>
      <c r="AW154" s="30"/>
      <c r="AX154" s="30"/>
    </row>
    <row r="155" spans="1:50">
      <c r="A155" s="1"/>
      <c r="B155" s="441">
        <f>IF(B145="","",IF(B145+1&gt;$AB$3,"",B145+1))</f>
        <v>44666</v>
      </c>
      <c r="C155" s="444">
        <f>IF(C145="","",IF(C145+1&gt;$AB$3,"",C145+1))</f>
        <v>44666</v>
      </c>
      <c r="D155" s="447">
        <f>IF(C155="","",WEEKDAY(C155,1))</f>
        <v>6</v>
      </c>
      <c r="E155" s="450" t="str">
        <f>IF($D155="","",IF(NOT(ISERROR(MATCH($C155,祝日テーブル,0)=TRUE)),IF($D155=1,"法定","法定外"),IF($D155=1,"法定",IF($D155=7,"法定外",""))))</f>
        <v/>
      </c>
      <c r="F155" s="453">
        <v>900</v>
      </c>
      <c r="G155" s="453">
        <v>1745</v>
      </c>
      <c r="H155" s="470">
        <v>4.1666666666666664E-2</v>
      </c>
      <c r="I155" s="473"/>
      <c r="J155" s="473"/>
      <c r="K155" s="471"/>
      <c r="L155" s="32">
        <f t="shared" ref="L155" si="187">MOD(F155,100)+FLOOR(F155/100,1)*60</f>
        <v>540</v>
      </c>
      <c r="M155" s="32"/>
      <c r="N155" s="475"/>
      <c r="O155" s="33">
        <f t="shared" ref="O155" si="188">IF($I$3= "協力会社",M159,IF(L159&gt;=$L$12,$M$12,IF(L159&gt;0,M159,0)))</f>
        <v>0.32291666666666669</v>
      </c>
      <c r="P155" s="33">
        <f t="shared" ref="P155" si="189">SUMIF(AB155:AB164,"1.00",AC155:AC164)+SUMIF(AB155:AB164,"振休取得",AC155:AC164)</f>
        <v>0.32291666666666669</v>
      </c>
      <c r="Q155" s="34"/>
      <c r="R155" s="34"/>
      <c r="S155" s="34"/>
      <c r="T155" s="35"/>
      <c r="U155" s="462"/>
      <c r="V155" s="462"/>
      <c r="W155" s="36" t="s">
        <v>649</v>
      </c>
      <c r="X155" s="37" t="s">
        <v>608</v>
      </c>
      <c r="Y155" s="37"/>
      <c r="Z155" s="37" t="s">
        <v>650</v>
      </c>
      <c r="AA155" s="37"/>
      <c r="AB155" s="38" t="s">
        <v>121</v>
      </c>
      <c r="AC155" s="39">
        <v>0.32291666666666669</v>
      </c>
      <c r="AD155" s="464"/>
      <c r="AE155" s="40"/>
      <c r="AF155" s="41"/>
      <c r="AG155" s="42"/>
      <c r="AH155" s="467" t="s">
        <v>652</v>
      </c>
      <c r="AI155" s="467" t="s">
        <v>653</v>
      </c>
      <c r="AJ155" s="73"/>
      <c r="AK155" s="1"/>
      <c r="AL155" s="437"/>
      <c r="AM155" s="437"/>
      <c r="AN155" s="437"/>
      <c r="AO155" s="437"/>
      <c r="AP155" s="437"/>
      <c r="AQ155" s="437"/>
      <c r="AR155" s="437"/>
      <c r="AS155" s="437"/>
      <c r="AT155" s="29"/>
      <c r="AU155" s="30"/>
      <c r="AV155" s="30"/>
      <c r="AW155" s="30"/>
      <c r="AX155" s="30"/>
    </row>
    <row r="156" spans="1:50" ht="11.25" customHeight="1">
      <c r="A156" s="1"/>
      <c r="B156" s="442"/>
      <c r="C156" s="445"/>
      <c r="D156" s="448"/>
      <c r="E156" s="451"/>
      <c r="F156" s="454"/>
      <c r="G156" s="454"/>
      <c r="H156" s="471"/>
      <c r="I156" s="473"/>
      <c r="J156" s="473"/>
      <c r="K156" s="471"/>
      <c r="L156" s="44">
        <f t="shared" ref="L156" si="190">MOD(G155,100)+FLOOR(G155/100,1)*60</f>
        <v>1065</v>
      </c>
      <c r="M156" s="44"/>
      <c r="N156" s="476"/>
      <c r="O156" s="45"/>
      <c r="P156" s="46"/>
      <c r="Q156" s="47"/>
      <c r="R156" s="47"/>
      <c r="S156" s="47"/>
      <c r="T156" s="48"/>
      <c r="U156" s="462"/>
      <c r="V156" s="462"/>
      <c r="W156" s="36"/>
      <c r="X156" s="49"/>
      <c r="Y156" s="50"/>
      <c r="Z156" s="50"/>
      <c r="AA156" s="50"/>
      <c r="AB156" s="51"/>
      <c r="AC156" s="52"/>
      <c r="AD156" s="465"/>
      <c r="AE156" s="53"/>
      <c r="AF156" s="54"/>
      <c r="AG156" s="55"/>
      <c r="AH156" s="468"/>
      <c r="AI156" s="468"/>
      <c r="AJ156" s="55"/>
      <c r="AK156" s="1"/>
      <c r="AL156" s="438"/>
      <c r="AM156" s="438"/>
      <c r="AN156" s="438"/>
      <c r="AO156" s="438"/>
      <c r="AP156" s="438"/>
      <c r="AQ156" s="438"/>
      <c r="AR156" s="438"/>
      <c r="AS156" s="438"/>
      <c r="AT156" s="29"/>
      <c r="AU156" s="30"/>
      <c r="AV156" s="30"/>
      <c r="AW156" s="30"/>
      <c r="AX156" s="30"/>
    </row>
    <row r="157" spans="1:50" ht="11.25" customHeight="1">
      <c r="A157" s="1"/>
      <c r="B157" s="442"/>
      <c r="C157" s="445"/>
      <c r="D157" s="448"/>
      <c r="E157" s="451"/>
      <c r="F157" s="454"/>
      <c r="G157" s="454"/>
      <c r="H157" s="471"/>
      <c r="I157" s="473"/>
      <c r="J157" s="473"/>
      <c r="K157" s="471"/>
      <c r="L157" s="44">
        <f t="shared" ref="L157" si="191">L156-L155</f>
        <v>525</v>
      </c>
      <c r="M157" s="44"/>
      <c r="N157" s="476"/>
      <c r="O157" s="46"/>
      <c r="P157" s="45">
        <f t="shared" ref="P157" si="192">SUMIF(AB155:AB164,"有休",AC155:AC164)+SUMIF(AB155:AB164,"無給休",AC155:AC164)+SUMIF(AB155:AB164,"振休",AC155:AC164)+SUMIF(AB155:AB164,"特休",AC155:AC164)</f>
        <v>0</v>
      </c>
      <c r="Q157" s="47"/>
      <c r="R157" s="47"/>
      <c r="S157" s="47"/>
      <c r="T157" s="48"/>
      <c r="U157" s="462"/>
      <c r="V157" s="462"/>
      <c r="W157" s="36"/>
      <c r="X157" s="49"/>
      <c r="Y157" s="50"/>
      <c r="Z157" s="50"/>
      <c r="AA157" s="50"/>
      <c r="AB157" s="51"/>
      <c r="AC157" s="52"/>
      <c r="AD157" s="465"/>
      <c r="AE157" s="53"/>
      <c r="AF157" s="54"/>
      <c r="AG157" s="55"/>
      <c r="AH157" s="468"/>
      <c r="AI157" s="468"/>
      <c r="AJ157" s="54"/>
      <c r="AK157" s="1"/>
      <c r="AL157" s="438"/>
      <c r="AM157" s="438"/>
      <c r="AN157" s="438"/>
      <c r="AO157" s="438"/>
      <c r="AP157" s="438"/>
      <c r="AQ157" s="438"/>
      <c r="AR157" s="438"/>
      <c r="AS157" s="438"/>
      <c r="AT157" s="29"/>
      <c r="AU157" s="30"/>
      <c r="AV157" s="30"/>
      <c r="AW157" s="30"/>
      <c r="AX157" s="30"/>
    </row>
    <row r="158" spans="1:50" ht="11.25" customHeight="1">
      <c r="A158" s="1"/>
      <c r="B158" s="442"/>
      <c r="C158" s="445"/>
      <c r="D158" s="448"/>
      <c r="E158" s="451"/>
      <c r="F158" s="454"/>
      <c r="G158" s="454"/>
      <c r="H158" s="471"/>
      <c r="I158" s="473"/>
      <c r="J158" s="473"/>
      <c r="K158" s="471"/>
      <c r="L158" s="44">
        <f t="shared" ref="L158" si="193">ROUNDUP(L157/60,2)</f>
        <v>8.75</v>
      </c>
      <c r="M158" s="44"/>
      <c r="N158" s="476"/>
      <c r="O158" s="46"/>
      <c r="P158" s="46"/>
      <c r="Q158" s="47"/>
      <c r="R158" s="47"/>
      <c r="S158" s="47"/>
      <c r="T158" s="48"/>
      <c r="U158" s="462"/>
      <c r="V158" s="462"/>
      <c r="W158" s="36"/>
      <c r="X158" s="49"/>
      <c r="Y158" s="50"/>
      <c r="Z158" s="50"/>
      <c r="AA158" s="50"/>
      <c r="AB158" s="51"/>
      <c r="AC158" s="52"/>
      <c r="AD158" s="465"/>
      <c r="AE158" s="53"/>
      <c r="AF158" s="54"/>
      <c r="AG158" s="55"/>
      <c r="AH158" s="468"/>
      <c r="AI158" s="468"/>
      <c r="AJ158" s="55"/>
      <c r="AK158" s="1"/>
      <c r="AL158" s="438"/>
      <c r="AM158" s="438"/>
      <c r="AN158" s="438"/>
      <c r="AO158" s="438"/>
      <c r="AP158" s="438"/>
      <c r="AQ158" s="438"/>
      <c r="AR158" s="438"/>
      <c r="AS158" s="438"/>
      <c r="AT158" s="29"/>
      <c r="AU158" s="30"/>
      <c r="AV158" s="30"/>
      <c r="AW158" s="30"/>
      <c r="AX158" s="30"/>
    </row>
    <row r="159" spans="1:50" ht="11.25" customHeight="1">
      <c r="A159" s="1"/>
      <c r="B159" s="442"/>
      <c r="C159" s="445"/>
      <c r="D159" s="448"/>
      <c r="E159" s="451"/>
      <c r="F159" s="454"/>
      <c r="G159" s="454"/>
      <c r="H159" s="471"/>
      <c r="I159" s="473"/>
      <c r="J159" s="473"/>
      <c r="K159" s="471"/>
      <c r="L159" s="44">
        <f t="shared" ref="L159" si="194">IF(L158&gt;0,L158-HOUR(H155)-MINUTE(H155)/60,0)</f>
        <v>7.75</v>
      </c>
      <c r="M159" s="56">
        <f t="shared" ref="M159" si="195">TIME(L159-MOD(L159,1),MOD(L159,1)*60,0)</f>
        <v>0.32291666666666669</v>
      </c>
      <c r="N159" s="476"/>
      <c r="O159" s="45">
        <f t="shared" ref="O159" si="196">M161</f>
        <v>0</v>
      </c>
      <c r="P159" s="45">
        <f t="shared" ref="P159" si="197">SUMIF(AB155:AB164,"1.25",AC155:AC164)+SUMIF(AB155:AB164,"他時間外",AC155:AC164)+SUMIF(AB155:AB164,"1.35",AC155:AC164)</f>
        <v>0</v>
      </c>
      <c r="Q159" s="47"/>
      <c r="R159" s="47"/>
      <c r="S159" s="47"/>
      <c r="T159" s="48"/>
      <c r="U159" s="462"/>
      <c r="V159" s="462"/>
      <c r="W159" s="36"/>
      <c r="X159" s="49"/>
      <c r="Y159" s="50"/>
      <c r="Z159" s="50"/>
      <c r="AA159" s="50"/>
      <c r="AB159" s="51"/>
      <c r="AC159" s="52"/>
      <c r="AD159" s="465"/>
      <c r="AE159" s="53"/>
      <c r="AF159" s="54"/>
      <c r="AG159" s="55"/>
      <c r="AH159" s="468"/>
      <c r="AI159" s="468"/>
      <c r="AJ159" s="55"/>
      <c r="AK159" s="1"/>
      <c r="AL159" s="438"/>
      <c r="AM159" s="438"/>
      <c r="AN159" s="438"/>
      <c r="AO159" s="438"/>
      <c r="AP159" s="438"/>
      <c r="AQ159" s="438"/>
      <c r="AR159" s="438"/>
      <c r="AS159" s="438"/>
      <c r="AT159" s="29"/>
      <c r="AU159" s="30"/>
      <c r="AV159" s="30"/>
      <c r="AW159" s="30"/>
      <c r="AX159" s="30"/>
    </row>
    <row r="160" spans="1:50" ht="11.25" customHeight="1">
      <c r="A160" s="1"/>
      <c r="B160" s="442"/>
      <c r="C160" s="445"/>
      <c r="D160" s="448"/>
      <c r="E160" s="451"/>
      <c r="F160" s="454"/>
      <c r="G160" s="454"/>
      <c r="H160" s="471"/>
      <c r="I160" s="473"/>
      <c r="J160" s="473"/>
      <c r="K160" s="471"/>
      <c r="L160" s="44">
        <f t="shared" ref="L160" si="198">L159-$L$12</f>
        <v>0</v>
      </c>
      <c r="M160" s="44"/>
      <c r="N160" s="476"/>
      <c r="O160" s="46"/>
      <c r="P160" s="46"/>
      <c r="Q160" s="47"/>
      <c r="R160" s="47"/>
      <c r="S160" s="47"/>
      <c r="T160" s="48"/>
      <c r="U160" s="462"/>
      <c r="V160" s="462"/>
      <c r="W160" s="36"/>
      <c r="X160" s="49"/>
      <c r="Y160" s="50"/>
      <c r="Z160" s="50"/>
      <c r="AA160" s="50"/>
      <c r="AB160" s="51"/>
      <c r="AC160" s="52"/>
      <c r="AD160" s="465"/>
      <c r="AE160" s="53"/>
      <c r="AF160" s="54"/>
      <c r="AG160" s="55"/>
      <c r="AH160" s="468"/>
      <c r="AI160" s="468"/>
      <c r="AJ160" s="55"/>
      <c r="AK160" s="1"/>
      <c r="AL160" s="438"/>
      <c r="AM160" s="438"/>
      <c r="AN160" s="438"/>
      <c r="AO160" s="438"/>
      <c r="AP160" s="438"/>
      <c r="AQ160" s="438"/>
      <c r="AR160" s="438"/>
      <c r="AS160" s="438"/>
      <c r="AT160" s="29"/>
      <c r="AU160" s="30"/>
      <c r="AV160" s="30"/>
      <c r="AW160" s="30"/>
      <c r="AX160" s="30"/>
    </row>
    <row r="161" spans="1:50" ht="11.25" customHeight="1">
      <c r="A161" s="1"/>
      <c r="B161" s="442"/>
      <c r="C161" s="445"/>
      <c r="D161" s="448"/>
      <c r="E161" s="451"/>
      <c r="F161" s="454"/>
      <c r="G161" s="454"/>
      <c r="H161" s="471"/>
      <c r="I161" s="473"/>
      <c r="J161" s="473"/>
      <c r="K161" s="471"/>
      <c r="L161" s="44">
        <f t="shared" ref="L161" si="199">IF($I$3= "協力会社",0,IF(L160&gt;0,L160,0))</f>
        <v>0</v>
      </c>
      <c r="M161" s="56">
        <f t="shared" ref="M161" si="200">TIME(L161-MOD(L161,1),MOD(L161,1)*60,0)</f>
        <v>0</v>
      </c>
      <c r="N161" s="476"/>
      <c r="O161" s="46"/>
      <c r="P161" s="45">
        <f t="shared" ref="P161" si="201">SUMIF(AB155:AB164,"0.25深夜",AC155:AC164)</f>
        <v>0</v>
      </c>
      <c r="Q161" s="47"/>
      <c r="R161" s="47"/>
      <c r="S161" s="47"/>
      <c r="T161" s="48"/>
      <c r="U161" s="462"/>
      <c r="V161" s="462"/>
      <c r="W161" s="36"/>
      <c r="X161" s="49"/>
      <c r="Y161" s="50"/>
      <c r="Z161" s="50"/>
      <c r="AA161" s="50"/>
      <c r="AB161" s="51"/>
      <c r="AC161" s="52"/>
      <c r="AD161" s="465"/>
      <c r="AE161" s="53"/>
      <c r="AF161" s="54"/>
      <c r="AG161" s="55"/>
      <c r="AH161" s="468"/>
      <c r="AI161" s="468"/>
      <c r="AJ161" s="55"/>
      <c r="AK161" s="1"/>
      <c r="AL161" s="438"/>
      <c r="AM161" s="438"/>
      <c r="AN161" s="438"/>
      <c r="AO161" s="438"/>
      <c r="AP161" s="438"/>
      <c r="AQ161" s="438"/>
      <c r="AR161" s="438"/>
      <c r="AS161" s="438"/>
      <c r="AT161" s="29"/>
      <c r="AU161" s="30"/>
      <c r="AV161" s="30"/>
      <c r="AW161" s="30"/>
      <c r="AX161" s="30"/>
    </row>
    <row r="162" spans="1:50" ht="11.25" customHeight="1">
      <c r="A162" s="1"/>
      <c r="B162" s="442"/>
      <c r="C162" s="445"/>
      <c r="D162" s="448"/>
      <c r="E162" s="451"/>
      <c r="F162" s="454"/>
      <c r="G162" s="454"/>
      <c r="H162" s="471"/>
      <c r="I162" s="473"/>
      <c r="J162" s="473"/>
      <c r="K162" s="471"/>
      <c r="L162" s="44"/>
      <c r="M162" s="44"/>
      <c r="N162" s="476"/>
      <c r="O162" s="46"/>
      <c r="P162" s="46"/>
      <c r="Q162" s="47"/>
      <c r="R162" s="47"/>
      <c r="S162" s="47"/>
      <c r="T162" s="48"/>
      <c r="U162" s="462"/>
      <c r="V162" s="462"/>
      <c r="W162" s="36"/>
      <c r="X162" s="49"/>
      <c r="Y162" s="50"/>
      <c r="Z162" s="50"/>
      <c r="AA162" s="50"/>
      <c r="AB162" s="51"/>
      <c r="AC162" s="52"/>
      <c r="AD162" s="465"/>
      <c r="AE162" s="53"/>
      <c r="AF162" s="54"/>
      <c r="AG162" s="55"/>
      <c r="AH162" s="468"/>
      <c r="AI162" s="468"/>
      <c r="AJ162" s="55"/>
      <c r="AK162" s="1"/>
      <c r="AL162" s="438"/>
      <c r="AM162" s="438"/>
      <c r="AN162" s="438"/>
      <c r="AO162" s="438"/>
      <c r="AP162" s="438"/>
      <c r="AQ162" s="438"/>
      <c r="AR162" s="438"/>
      <c r="AS162" s="438"/>
      <c r="AT162" s="29"/>
      <c r="AU162" s="30"/>
      <c r="AV162" s="30"/>
      <c r="AW162" s="30"/>
      <c r="AX162" s="30"/>
    </row>
    <row r="163" spans="1:50" ht="11.25" customHeight="1">
      <c r="A163" s="1"/>
      <c r="B163" s="442"/>
      <c r="C163" s="445"/>
      <c r="D163" s="448"/>
      <c r="E163" s="451"/>
      <c r="F163" s="454"/>
      <c r="G163" s="454"/>
      <c r="H163" s="471"/>
      <c r="I163" s="473"/>
      <c r="J163" s="473"/>
      <c r="K163" s="471"/>
      <c r="L163" s="44"/>
      <c r="M163" s="44"/>
      <c r="N163" s="478"/>
      <c r="O163" s="57">
        <f t="shared" ref="O163" si="202">O155+O159</f>
        <v>0.32291666666666669</v>
      </c>
      <c r="P163" s="57">
        <f t="shared" ref="P163" si="203">SUM(P155:P159)</f>
        <v>0.32291666666666669</v>
      </c>
      <c r="Q163" s="47"/>
      <c r="R163" s="47"/>
      <c r="S163" s="47"/>
      <c r="T163" s="48"/>
      <c r="U163" s="462"/>
      <c r="V163" s="462"/>
      <c r="W163" s="36"/>
      <c r="X163" s="49"/>
      <c r="Y163" s="49"/>
      <c r="Z163" s="49"/>
      <c r="AA163" s="49"/>
      <c r="AB163" s="51"/>
      <c r="AC163" s="52"/>
      <c r="AD163" s="465"/>
      <c r="AE163" s="53"/>
      <c r="AF163" s="59"/>
      <c r="AG163" s="60"/>
      <c r="AH163" s="468"/>
      <c r="AI163" s="468"/>
      <c r="AJ163" s="55"/>
      <c r="AK163" s="1"/>
      <c r="AL163" s="438"/>
      <c r="AM163" s="438"/>
      <c r="AN163" s="438"/>
      <c r="AO163" s="438"/>
      <c r="AP163" s="438"/>
      <c r="AQ163" s="438"/>
      <c r="AR163" s="438"/>
      <c r="AS163" s="438"/>
      <c r="AT163" s="29"/>
      <c r="AU163" s="30"/>
      <c r="AV163" s="30"/>
      <c r="AW163" s="30"/>
      <c r="AX163" s="30"/>
    </row>
    <row r="164" spans="1:50" ht="11.25" customHeight="1">
      <c r="A164" s="1"/>
      <c r="B164" s="443"/>
      <c r="C164" s="446"/>
      <c r="D164" s="449"/>
      <c r="E164" s="452"/>
      <c r="F164" s="455"/>
      <c r="G164" s="455"/>
      <c r="H164" s="472"/>
      <c r="I164" s="474"/>
      <c r="J164" s="474"/>
      <c r="K164" s="472"/>
      <c r="L164" s="61"/>
      <c r="M164" s="61"/>
      <c r="N164" s="477"/>
      <c r="O164" s="62"/>
      <c r="P164" s="62"/>
      <c r="Q164" s="63"/>
      <c r="R164" s="63"/>
      <c r="S164" s="63"/>
      <c r="T164" s="64"/>
      <c r="U164" s="463"/>
      <c r="V164" s="463"/>
      <c r="W164" s="65"/>
      <c r="X164" s="66"/>
      <c r="Y164" s="67"/>
      <c r="Z164" s="67"/>
      <c r="AA164" s="67"/>
      <c r="AB164" s="68"/>
      <c r="AC164" s="69"/>
      <c r="AD164" s="466"/>
      <c r="AE164" s="70"/>
      <c r="AF164" s="71"/>
      <c r="AG164" s="72"/>
      <c r="AH164" s="469"/>
      <c r="AI164" s="469"/>
      <c r="AJ164" s="72"/>
      <c r="AK164" s="1"/>
      <c r="AL164" s="439"/>
      <c r="AM164" s="439"/>
      <c r="AN164" s="439"/>
      <c r="AO164" s="439"/>
      <c r="AP164" s="439"/>
      <c r="AQ164" s="439"/>
      <c r="AR164" s="439"/>
      <c r="AS164" s="439"/>
      <c r="AT164" s="29"/>
      <c r="AU164" s="30"/>
      <c r="AV164" s="30"/>
      <c r="AW164" s="30"/>
      <c r="AX164" s="30"/>
    </row>
    <row r="165" spans="1:50">
      <c r="A165" s="1"/>
      <c r="B165" s="441">
        <f>IF(B155="","",IF(B155+1&gt;$AB$3,"",B155+1))</f>
        <v>44667</v>
      </c>
      <c r="C165" s="444">
        <f>IF(C155="","",IF(C155+1&gt;$AB$3,"",C155+1))</f>
        <v>44667</v>
      </c>
      <c r="D165" s="447">
        <f>IF(C165="","",WEEKDAY(C165,1))</f>
        <v>7</v>
      </c>
      <c r="E165" s="450" t="str">
        <f>IF($D165="","",IF(NOT(ISERROR(MATCH($C165,祝日テーブル,0)=TRUE)),IF($D165=1,"法定","法定外"),IF($D165=1,"法定",IF($D165=7,"法定外",""))))</f>
        <v>法定外</v>
      </c>
      <c r="F165" s="453"/>
      <c r="G165" s="453"/>
      <c r="H165" s="470">
        <v>4.1666666666666664E-2</v>
      </c>
      <c r="I165" s="473"/>
      <c r="J165" s="473"/>
      <c r="K165" s="471"/>
      <c r="L165" s="32">
        <f t="shared" ref="L165" si="204">MOD(F165,100)+FLOOR(F165/100,1)*60</f>
        <v>0</v>
      </c>
      <c r="M165" s="32"/>
      <c r="N165" s="475"/>
      <c r="O165" s="33">
        <f t="shared" ref="O165" si="205">IF($I$3= "協力会社",M169,IF(L169&gt;=$L$12,$M$12,IF(L169&gt;0,M169,0)))</f>
        <v>0</v>
      </c>
      <c r="P165" s="33">
        <f t="shared" ref="P165" si="206">SUMIF(AB165:AB174,"1.00",AC165:AC174)+SUMIF(AB165:AB174,"振休取得",AC165:AC174)</f>
        <v>0</v>
      </c>
      <c r="Q165" s="34"/>
      <c r="R165" s="34"/>
      <c r="S165" s="34"/>
      <c r="T165" s="35"/>
      <c r="U165" s="462"/>
      <c r="V165" s="462"/>
      <c r="W165" s="36"/>
      <c r="X165" s="37"/>
      <c r="Y165" s="37"/>
      <c r="Z165" s="37"/>
      <c r="AA165" s="37"/>
      <c r="AB165" s="38"/>
      <c r="AC165" s="39"/>
      <c r="AD165" s="464"/>
      <c r="AE165" s="40"/>
      <c r="AF165" s="41"/>
      <c r="AG165" s="42"/>
      <c r="AH165" s="467"/>
      <c r="AI165" s="467"/>
      <c r="AJ165" s="73"/>
      <c r="AK165" s="1"/>
      <c r="AL165" s="437"/>
      <c r="AM165" s="437"/>
      <c r="AN165" s="437"/>
      <c r="AO165" s="437"/>
      <c r="AP165" s="437"/>
      <c r="AQ165" s="437"/>
      <c r="AR165" s="437"/>
      <c r="AS165" s="437"/>
      <c r="AT165" s="29"/>
      <c r="AU165" s="30"/>
      <c r="AV165" s="30"/>
      <c r="AW165" s="30"/>
      <c r="AX165" s="30"/>
    </row>
    <row r="166" spans="1:50" ht="11.25" customHeight="1">
      <c r="A166" s="1"/>
      <c r="B166" s="442"/>
      <c r="C166" s="445"/>
      <c r="D166" s="448"/>
      <c r="E166" s="451"/>
      <c r="F166" s="454"/>
      <c r="G166" s="454"/>
      <c r="H166" s="471"/>
      <c r="I166" s="473"/>
      <c r="J166" s="473"/>
      <c r="K166" s="471"/>
      <c r="L166" s="44">
        <f t="shared" ref="L166" si="207">MOD(G165,100)+FLOOR(G165/100,1)*60</f>
        <v>0</v>
      </c>
      <c r="M166" s="44"/>
      <c r="N166" s="476"/>
      <c r="O166" s="45"/>
      <c r="P166" s="46"/>
      <c r="Q166" s="47"/>
      <c r="R166" s="47"/>
      <c r="S166" s="47"/>
      <c r="T166" s="48"/>
      <c r="U166" s="462"/>
      <c r="V166" s="462"/>
      <c r="W166" s="36"/>
      <c r="X166" s="49"/>
      <c r="Y166" s="50"/>
      <c r="Z166" s="50"/>
      <c r="AA166" s="50"/>
      <c r="AB166" s="51"/>
      <c r="AC166" s="52"/>
      <c r="AD166" s="465"/>
      <c r="AE166" s="53"/>
      <c r="AF166" s="54"/>
      <c r="AG166" s="55"/>
      <c r="AH166" s="468"/>
      <c r="AI166" s="468"/>
      <c r="AJ166" s="54"/>
      <c r="AK166" s="1"/>
      <c r="AL166" s="438"/>
      <c r="AM166" s="438"/>
      <c r="AN166" s="438"/>
      <c r="AO166" s="438"/>
      <c r="AP166" s="438"/>
      <c r="AQ166" s="438"/>
      <c r="AR166" s="438"/>
      <c r="AS166" s="438"/>
      <c r="AT166" s="29"/>
      <c r="AU166" s="30"/>
      <c r="AV166" s="30"/>
      <c r="AW166" s="30"/>
      <c r="AX166" s="30"/>
    </row>
    <row r="167" spans="1:50" ht="11.25" customHeight="1">
      <c r="A167" s="1"/>
      <c r="B167" s="442"/>
      <c r="C167" s="445"/>
      <c r="D167" s="448"/>
      <c r="E167" s="451"/>
      <c r="F167" s="454"/>
      <c r="G167" s="454"/>
      <c r="H167" s="471"/>
      <c r="I167" s="473"/>
      <c r="J167" s="473"/>
      <c r="K167" s="471"/>
      <c r="L167" s="44">
        <f t="shared" ref="L167" si="208">L166-L165</f>
        <v>0</v>
      </c>
      <c r="M167" s="44"/>
      <c r="N167" s="476"/>
      <c r="O167" s="46"/>
      <c r="P167" s="45">
        <f t="shared" ref="P167" si="209">SUMIF(AB165:AB174,"有休",AC165:AC174)+SUMIF(AB165:AB174,"無給休",AC165:AC174)+SUMIF(AB165:AB174,"振休",AC165:AC174)+SUMIF(AB165:AB174,"特休",AC165:AC174)</f>
        <v>0</v>
      </c>
      <c r="Q167" s="47"/>
      <c r="R167" s="47"/>
      <c r="S167" s="47"/>
      <c r="T167" s="48"/>
      <c r="U167" s="462"/>
      <c r="V167" s="462"/>
      <c r="W167" s="36"/>
      <c r="X167" s="49"/>
      <c r="Y167" s="50"/>
      <c r="Z167" s="50"/>
      <c r="AA167" s="50"/>
      <c r="AB167" s="51"/>
      <c r="AC167" s="52"/>
      <c r="AD167" s="465"/>
      <c r="AE167" s="53"/>
      <c r="AF167" s="54"/>
      <c r="AG167" s="55"/>
      <c r="AH167" s="468"/>
      <c r="AI167" s="468"/>
      <c r="AJ167" s="54"/>
      <c r="AK167" s="1"/>
      <c r="AL167" s="438"/>
      <c r="AM167" s="438"/>
      <c r="AN167" s="438"/>
      <c r="AO167" s="438"/>
      <c r="AP167" s="438"/>
      <c r="AQ167" s="438"/>
      <c r="AR167" s="438"/>
      <c r="AS167" s="438"/>
      <c r="AT167" s="29"/>
      <c r="AU167" s="30"/>
      <c r="AV167" s="30"/>
      <c r="AW167" s="30"/>
      <c r="AX167" s="30"/>
    </row>
    <row r="168" spans="1:50" ht="11.25" customHeight="1">
      <c r="A168" s="1"/>
      <c r="B168" s="442"/>
      <c r="C168" s="445"/>
      <c r="D168" s="448"/>
      <c r="E168" s="451"/>
      <c r="F168" s="454"/>
      <c r="G168" s="454"/>
      <c r="H168" s="471"/>
      <c r="I168" s="473"/>
      <c r="J168" s="473"/>
      <c r="K168" s="471"/>
      <c r="L168" s="44">
        <f t="shared" ref="L168" si="210">ROUNDUP(L167/60,2)</f>
        <v>0</v>
      </c>
      <c r="M168" s="44"/>
      <c r="N168" s="476"/>
      <c r="O168" s="46"/>
      <c r="P168" s="46"/>
      <c r="Q168" s="47"/>
      <c r="R168" s="47"/>
      <c r="S168" s="47"/>
      <c r="T168" s="48"/>
      <c r="U168" s="462"/>
      <c r="V168" s="462"/>
      <c r="W168" s="36"/>
      <c r="X168" s="49"/>
      <c r="Y168" s="50"/>
      <c r="Z168" s="50"/>
      <c r="AA168" s="50"/>
      <c r="AB168" s="51"/>
      <c r="AC168" s="52"/>
      <c r="AD168" s="465"/>
      <c r="AE168" s="53"/>
      <c r="AF168" s="54"/>
      <c r="AG168" s="55"/>
      <c r="AH168" s="468"/>
      <c r="AI168" s="468"/>
      <c r="AJ168" s="55"/>
      <c r="AK168" s="1"/>
      <c r="AL168" s="438"/>
      <c r="AM168" s="438"/>
      <c r="AN168" s="438"/>
      <c r="AO168" s="438"/>
      <c r="AP168" s="438"/>
      <c r="AQ168" s="438"/>
      <c r="AR168" s="438"/>
      <c r="AS168" s="438"/>
      <c r="AT168" s="29"/>
      <c r="AU168" s="30"/>
      <c r="AV168" s="30"/>
      <c r="AW168" s="30"/>
      <c r="AX168" s="30"/>
    </row>
    <row r="169" spans="1:50" ht="11.25" customHeight="1">
      <c r="A169" s="1"/>
      <c r="B169" s="442"/>
      <c r="C169" s="445"/>
      <c r="D169" s="448"/>
      <c r="E169" s="451"/>
      <c r="F169" s="454"/>
      <c r="G169" s="454"/>
      <c r="H169" s="471"/>
      <c r="I169" s="473"/>
      <c r="J169" s="473"/>
      <c r="K169" s="471"/>
      <c r="L169" s="44">
        <f t="shared" ref="L169" si="211">IF(L168&gt;0,L168-HOUR(H165)-MINUTE(H165)/60,0)</f>
        <v>0</v>
      </c>
      <c r="M169" s="56">
        <f t="shared" ref="M169" si="212">TIME(L169-MOD(L169,1),MOD(L169,1)*60,0)</f>
        <v>0</v>
      </c>
      <c r="N169" s="476"/>
      <c r="O169" s="45">
        <f t="shared" ref="O169" si="213">M171</f>
        <v>0</v>
      </c>
      <c r="P169" s="45">
        <f t="shared" ref="P169" si="214">SUMIF(AB165:AB174,"1.25",AC165:AC174)+SUMIF(AB165:AB174,"他時間外",AC165:AC174)+SUMIF(AB165:AB174,"1.35",AC165:AC174)</f>
        <v>0</v>
      </c>
      <c r="Q169" s="47"/>
      <c r="R169" s="47"/>
      <c r="S169" s="47"/>
      <c r="T169" s="48"/>
      <c r="U169" s="462"/>
      <c r="V169" s="462"/>
      <c r="W169" s="36"/>
      <c r="X169" s="49"/>
      <c r="Y169" s="50"/>
      <c r="Z169" s="50"/>
      <c r="AA169" s="50"/>
      <c r="AB169" s="51"/>
      <c r="AC169" s="52"/>
      <c r="AD169" s="465"/>
      <c r="AE169" s="53"/>
      <c r="AF169" s="54"/>
      <c r="AG169" s="55"/>
      <c r="AH169" s="468"/>
      <c r="AI169" s="468"/>
      <c r="AJ169" s="55"/>
      <c r="AK169" s="1"/>
      <c r="AL169" s="438"/>
      <c r="AM169" s="438"/>
      <c r="AN169" s="438"/>
      <c r="AO169" s="438"/>
      <c r="AP169" s="438"/>
      <c r="AQ169" s="438"/>
      <c r="AR169" s="438"/>
      <c r="AS169" s="438"/>
      <c r="AT169" s="29"/>
      <c r="AU169" s="30"/>
      <c r="AV169" s="30"/>
      <c r="AW169" s="30"/>
      <c r="AX169" s="30"/>
    </row>
    <row r="170" spans="1:50" ht="11.25" customHeight="1">
      <c r="A170" s="1"/>
      <c r="B170" s="442"/>
      <c r="C170" s="445"/>
      <c r="D170" s="448"/>
      <c r="E170" s="451"/>
      <c r="F170" s="454"/>
      <c r="G170" s="454"/>
      <c r="H170" s="471"/>
      <c r="I170" s="473"/>
      <c r="J170" s="473"/>
      <c r="K170" s="471"/>
      <c r="L170" s="44">
        <f t="shared" ref="L170" si="215">L169-$L$12</f>
        <v>-7.75</v>
      </c>
      <c r="M170" s="44"/>
      <c r="N170" s="476"/>
      <c r="O170" s="46"/>
      <c r="P170" s="46"/>
      <c r="Q170" s="47"/>
      <c r="R170" s="47"/>
      <c r="S170" s="47"/>
      <c r="T170" s="48"/>
      <c r="U170" s="462"/>
      <c r="V170" s="462"/>
      <c r="W170" s="36"/>
      <c r="X170" s="49"/>
      <c r="Y170" s="50"/>
      <c r="Z170" s="50"/>
      <c r="AA170" s="50"/>
      <c r="AB170" s="51"/>
      <c r="AC170" s="52"/>
      <c r="AD170" s="465"/>
      <c r="AE170" s="53"/>
      <c r="AF170" s="54"/>
      <c r="AG170" s="55"/>
      <c r="AH170" s="468"/>
      <c r="AI170" s="468"/>
      <c r="AJ170" s="55"/>
      <c r="AK170" s="1"/>
      <c r="AL170" s="438"/>
      <c r="AM170" s="438"/>
      <c r="AN170" s="438"/>
      <c r="AO170" s="438"/>
      <c r="AP170" s="438"/>
      <c r="AQ170" s="438"/>
      <c r="AR170" s="438"/>
      <c r="AS170" s="438"/>
      <c r="AT170" s="29"/>
      <c r="AU170" s="30"/>
      <c r="AV170" s="30"/>
      <c r="AW170" s="30"/>
      <c r="AX170" s="30"/>
    </row>
    <row r="171" spans="1:50" ht="11.25" customHeight="1">
      <c r="A171" s="1"/>
      <c r="B171" s="442"/>
      <c r="C171" s="445"/>
      <c r="D171" s="448"/>
      <c r="E171" s="451"/>
      <c r="F171" s="454"/>
      <c r="G171" s="454"/>
      <c r="H171" s="471"/>
      <c r="I171" s="473"/>
      <c r="J171" s="473"/>
      <c r="K171" s="471"/>
      <c r="L171" s="44">
        <f t="shared" ref="L171" si="216">IF($I$3= "協力会社",0,IF(L170&gt;0,L170,0))</f>
        <v>0</v>
      </c>
      <c r="M171" s="56">
        <f t="shared" ref="M171" si="217">TIME(L171-MOD(L171,1),MOD(L171,1)*60,0)</f>
        <v>0</v>
      </c>
      <c r="N171" s="476"/>
      <c r="O171" s="46"/>
      <c r="P171" s="45">
        <f t="shared" ref="P171" si="218">SUMIF(AB165:AB174,"0.25深夜",AC165:AC174)</f>
        <v>0</v>
      </c>
      <c r="Q171" s="47"/>
      <c r="R171" s="47"/>
      <c r="S171" s="47"/>
      <c r="T171" s="48"/>
      <c r="U171" s="462"/>
      <c r="V171" s="462"/>
      <c r="W171" s="36"/>
      <c r="X171" s="49"/>
      <c r="Y171" s="50"/>
      <c r="Z171" s="50"/>
      <c r="AA171" s="50"/>
      <c r="AB171" s="51"/>
      <c r="AC171" s="52"/>
      <c r="AD171" s="465"/>
      <c r="AE171" s="53"/>
      <c r="AF171" s="54"/>
      <c r="AG171" s="55"/>
      <c r="AH171" s="468"/>
      <c r="AI171" s="468"/>
      <c r="AJ171" s="55"/>
      <c r="AK171" s="1"/>
      <c r="AL171" s="438"/>
      <c r="AM171" s="438"/>
      <c r="AN171" s="438"/>
      <c r="AO171" s="438"/>
      <c r="AP171" s="438"/>
      <c r="AQ171" s="438"/>
      <c r="AR171" s="438"/>
      <c r="AS171" s="438"/>
      <c r="AT171" s="29"/>
      <c r="AU171" s="30"/>
      <c r="AV171" s="30"/>
      <c r="AW171" s="30"/>
      <c r="AX171" s="30"/>
    </row>
    <row r="172" spans="1:50" ht="11.25" customHeight="1">
      <c r="A172" s="1"/>
      <c r="B172" s="442"/>
      <c r="C172" s="445"/>
      <c r="D172" s="448"/>
      <c r="E172" s="451"/>
      <c r="F172" s="454"/>
      <c r="G172" s="454"/>
      <c r="H172" s="471"/>
      <c r="I172" s="473"/>
      <c r="J172" s="473"/>
      <c r="K172" s="471"/>
      <c r="L172" s="44"/>
      <c r="M172" s="44"/>
      <c r="N172" s="476"/>
      <c r="O172" s="46"/>
      <c r="P172" s="46"/>
      <c r="Q172" s="47"/>
      <c r="R172" s="47"/>
      <c r="S172" s="47"/>
      <c r="T172" s="48"/>
      <c r="U172" s="462"/>
      <c r="V172" s="462"/>
      <c r="W172" s="36"/>
      <c r="X172" s="49"/>
      <c r="Y172" s="50"/>
      <c r="Z172" s="50"/>
      <c r="AA172" s="50"/>
      <c r="AB172" s="51"/>
      <c r="AC172" s="52"/>
      <c r="AD172" s="465"/>
      <c r="AE172" s="53"/>
      <c r="AF172" s="54"/>
      <c r="AG172" s="55"/>
      <c r="AH172" s="468"/>
      <c r="AI172" s="468"/>
      <c r="AJ172" s="55"/>
      <c r="AK172" s="1"/>
      <c r="AL172" s="438"/>
      <c r="AM172" s="438"/>
      <c r="AN172" s="438"/>
      <c r="AO172" s="438"/>
      <c r="AP172" s="438"/>
      <c r="AQ172" s="438"/>
      <c r="AR172" s="438"/>
      <c r="AS172" s="438"/>
      <c r="AT172" s="29"/>
      <c r="AU172" s="30"/>
      <c r="AV172" s="30"/>
      <c r="AW172" s="30"/>
      <c r="AX172" s="30"/>
    </row>
    <row r="173" spans="1:50" ht="11.25" customHeight="1">
      <c r="A173" s="1"/>
      <c r="B173" s="442"/>
      <c r="C173" s="445"/>
      <c r="D173" s="448"/>
      <c r="E173" s="451"/>
      <c r="F173" s="454"/>
      <c r="G173" s="454"/>
      <c r="H173" s="471"/>
      <c r="I173" s="473"/>
      <c r="J173" s="473"/>
      <c r="K173" s="471"/>
      <c r="L173" s="44"/>
      <c r="M173" s="44"/>
      <c r="N173" s="478"/>
      <c r="O173" s="57">
        <f t="shared" ref="O173" si="219">O165+O169</f>
        <v>0</v>
      </c>
      <c r="P173" s="57">
        <f t="shared" ref="P173" si="220">SUM(P165:P169)</f>
        <v>0</v>
      </c>
      <c r="Q173" s="47"/>
      <c r="R173" s="47"/>
      <c r="S173" s="47"/>
      <c r="T173" s="48"/>
      <c r="U173" s="462"/>
      <c r="V173" s="462"/>
      <c r="W173" s="36"/>
      <c r="X173" s="49"/>
      <c r="Y173" s="49"/>
      <c r="Z173" s="49"/>
      <c r="AA173" s="49"/>
      <c r="AB173" s="51"/>
      <c r="AC173" s="52"/>
      <c r="AD173" s="465"/>
      <c r="AE173" s="53"/>
      <c r="AF173" s="59"/>
      <c r="AG173" s="60"/>
      <c r="AH173" s="468"/>
      <c r="AI173" s="468"/>
      <c r="AJ173" s="55"/>
      <c r="AK173" s="1"/>
      <c r="AL173" s="438"/>
      <c r="AM173" s="438"/>
      <c r="AN173" s="438"/>
      <c r="AO173" s="438"/>
      <c r="AP173" s="438"/>
      <c r="AQ173" s="438"/>
      <c r="AR173" s="438"/>
      <c r="AS173" s="438"/>
      <c r="AT173" s="29"/>
      <c r="AU173" s="30"/>
      <c r="AV173" s="30"/>
      <c r="AW173" s="30"/>
      <c r="AX173" s="30"/>
    </row>
    <row r="174" spans="1:50" ht="11.25" customHeight="1">
      <c r="A174" s="1"/>
      <c r="B174" s="443"/>
      <c r="C174" s="446"/>
      <c r="D174" s="449"/>
      <c r="E174" s="452"/>
      <c r="F174" s="455"/>
      <c r="G174" s="455"/>
      <c r="H174" s="472"/>
      <c r="I174" s="474"/>
      <c r="J174" s="474"/>
      <c r="K174" s="472"/>
      <c r="L174" s="61"/>
      <c r="M174" s="61"/>
      <c r="N174" s="477"/>
      <c r="O174" s="62"/>
      <c r="P174" s="62"/>
      <c r="Q174" s="63"/>
      <c r="R174" s="63"/>
      <c r="S174" s="63"/>
      <c r="T174" s="64"/>
      <c r="U174" s="463"/>
      <c r="V174" s="463"/>
      <c r="W174" s="65"/>
      <c r="X174" s="66"/>
      <c r="Y174" s="67"/>
      <c r="Z174" s="67"/>
      <c r="AA174" s="67"/>
      <c r="AB174" s="68"/>
      <c r="AC174" s="69"/>
      <c r="AD174" s="466"/>
      <c r="AE174" s="70"/>
      <c r="AF174" s="71"/>
      <c r="AG174" s="72"/>
      <c r="AH174" s="469"/>
      <c r="AI174" s="469"/>
      <c r="AJ174" s="72"/>
      <c r="AK174" s="1"/>
      <c r="AL174" s="439"/>
      <c r="AM174" s="439"/>
      <c r="AN174" s="439"/>
      <c r="AO174" s="439"/>
      <c r="AP174" s="439"/>
      <c r="AQ174" s="439"/>
      <c r="AR174" s="439"/>
      <c r="AS174" s="439"/>
      <c r="AT174" s="29"/>
      <c r="AU174" s="30"/>
      <c r="AV174" s="30"/>
      <c r="AW174" s="30"/>
      <c r="AX174" s="30"/>
    </row>
    <row r="175" spans="1:50">
      <c r="A175" s="1"/>
      <c r="B175" s="441">
        <f>IF(B165="","",IF(B165+1&gt;$AB$3,"",B165+1))</f>
        <v>44668</v>
      </c>
      <c r="C175" s="444">
        <f>IF(C165="","",IF(C165+1&gt;$AB$3,"",C165+1))</f>
        <v>44668</v>
      </c>
      <c r="D175" s="447">
        <f>IF(C175="","",WEEKDAY(C175,1))</f>
        <v>1</v>
      </c>
      <c r="E175" s="450" t="str">
        <f>IF($D175="","",IF(NOT(ISERROR(MATCH($C175,祝日テーブル,0)=TRUE)),IF($D175=1,"法定","法定外"),IF($D175=1,"法定",IF($D175=7,"法定外",""))))</f>
        <v>法定</v>
      </c>
      <c r="F175" s="453"/>
      <c r="G175" s="453"/>
      <c r="H175" s="470">
        <v>4.1666666666666664E-2</v>
      </c>
      <c r="I175" s="473"/>
      <c r="J175" s="473"/>
      <c r="K175" s="471"/>
      <c r="L175" s="32">
        <f t="shared" ref="L175" si="221">MOD(F175,100)+FLOOR(F175/100,1)*60</f>
        <v>0</v>
      </c>
      <c r="M175" s="32"/>
      <c r="N175" s="475"/>
      <c r="O175" s="33">
        <f t="shared" ref="O175" si="222">IF($I$3= "協力会社",M179,IF(L179&gt;=$L$12,$M$12,IF(L179&gt;0,M179,0)))</f>
        <v>0</v>
      </c>
      <c r="P175" s="33">
        <f t="shared" ref="P175" si="223">SUMIF(AB175:AB184,"1.00",AC175:AC184)+SUMIF(AB175:AB184,"振休取得",AC175:AC184)</f>
        <v>0</v>
      </c>
      <c r="Q175" s="34"/>
      <c r="R175" s="34"/>
      <c r="S175" s="34"/>
      <c r="T175" s="35"/>
      <c r="U175" s="462"/>
      <c r="V175" s="462"/>
      <c r="W175" s="36"/>
      <c r="X175" s="37"/>
      <c r="Y175" s="37"/>
      <c r="Z175" s="37"/>
      <c r="AA175" s="37"/>
      <c r="AB175" s="38"/>
      <c r="AC175" s="39"/>
      <c r="AD175" s="464"/>
      <c r="AE175" s="40"/>
      <c r="AF175" s="41"/>
      <c r="AG175" s="42"/>
      <c r="AH175" s="467"/>
      <c r="AI175" s="467"/>
      <c r="AJ175" s="73"/>
      <c r="AK175" s="1"/>
      <c r="AL175" s="437"/>
      <c r="AM175" s="437"/>
      <c r="AN175" s="437"/>
      <c r="AO175" s="437"/>
      <c r="AP175" s="437"/>
      <c r="AQ175" s="437"/>
      <c r="AR175" s="437"/>
      <c r="AS175" s="437"/>
      <c r="AT175" s="29"/>
      <c r="AU175" s="30"/>
      <c r="AV175" s="30"/>
      <c r="AW175" s="30"/>
      <c r="AX175" s="30"/>
    </row>
    <row r="176" spans="1:50" ht="11.25" customHeight="1">
      <c r="A176" s="1"/>
      <c r="B176" s="442"/>
      <c r="C176" s="445"/>
      <c r="D176" s="448"/>
      <c r="E176" s="451"/>
      <c r="F176" s="454"/>
      <c r="G176" s="454"/>
      <c r="H176" s="471"/>
      <c r="I176" s="473"/>
      <c r="J176" s="473"/>
      <c r="K176" s="471"/>
      <c r="L176" s="44">
        <f t="shared" ref="L176" si="224">MOD(G175,100)+FLOOR(G175/100,1)*60</f>
        <v>0</v>
      </c>
      <c r="M176" s="44"/>
      <c r="N176" s="476"/>
      <c r="O176" s="45"/>
      <c r="P176" s="46"/>
      <c r="Q176" s="47"/>
      <c r="R176" s="47"/>
      <c r="S176" s="47"/>
      <c r="T176" s="48"/>
      <c r="U176" s="462"/>
      <c r="V176" s="462"/>
      <c r="W176" s="36"/>
      <c r="X176" s="49"/>
      <c r="Y176" s="50"/>
      <c r="Z176" s="50"/>
      <c r="AA176" s="50"/>
      <c r="AB176" s="51"/>
      <c r="AC176" s="52"/>
      <c r="AD176" s="465"/>
      <c r="AE176" s="53"/>
      <c r="AF176" s="54"/>
      <c r="AG176" s="55"/>
      <c r="AH176" s="468"/>
      <c r="AI176" s="468"/>
      <c r="AJ176" s="55"/>
      <c r="AK176" s="1"/>
      <c r="AL176" s="438"/>
      <c r="AM176" s="438"/>
      <c r="AN176" s="438"/>
      <c r="AO176" s="438"/>
      <c r="AP176" s="438"/>
      <c r="AQ176" s="438"/>
      <c r="AR176" s="438"/>
      <c r="AS176" s="438"/>
      <c r="AT176" s="29"/>
      <c r="AU176" s="30"/>
      <c r="AV176" s="30"/>
      <c r="AW176" s="30"/>
      <c r="AX176" s="30"/>
    </row>
    <row r="177" spans="1:50" ht="11.25" customHeight="1">
      <c r="A177" s="1"/>
      <c r="B177" s="442"/>
      <c r="C177" s="445"/>
      <c r="D177" s="448"/>
      <c r="E177" s="451"/>
      <c r="F177" s="454"/>
      <c r="G177" s="454"/>
      <c r="H177" s="471"/>
      <c r="I177" s="473"/>
      <c r="J177" s="473"/>
      <c r="K177" s="471"/>
      <c r="L177" s="44">
        <f t="shared" ref="L177" si="225">L176-L175</f>
        <v>0</v>
      </c>
      <c r="M177" s="44"/>
      <c r="N177" s="476"/>
      <c r="O177" s="46"/>
      <c r="P177" s="45">
        <f t="shared" ref="P177" si="226">SUMIF(AB175:AB184,"有休",AC175:AC184)+SUMIF(AB175:AB184,"無給休",AC175:AC184)+SUMIF(AB175:AB184,"振休",AC175:AC184)+SUMIF(AB175:AB184,"特休",AC175:AC184)</f>
        <v>0</v>
      </c>
      <c r="Q177" s="47"/>
      <c r="R177" s="47"/>
      <c r="S177" s="47"/>
      <c r="T177" s="48"/>
      <c r="U177" s="462"/>
      <c r="V177" s="462"/>
      <c r="W177" s="36"/>
      <c r="X177" s="49"/>
      <c r="Y177" s="50"/>
      <c r="Z177" s="50"/>
      <c r="AA177" s="50"/>
      <c r="AB177" s="51"/>
      <c r="AC177" s="52"/>
      <c r="AD177" s="465"/>
      <c r="AE177" s="53"/>
      <c r="AF177" s="54"/>
      <c r="AG177" s="55"/>
      <c r="AH177" s="468"/>
      <c r="AI177" s="468"/>
      <c r="AJ177" s="54"/>
      <c r="AK177" s="1"/>
      <c r="AL177" s="438"/>
      <c r="AM177" s="438"/>
      <c r="AN177" s="438"/>
      <c r="AO177" s="438"/>
      <c r="AP177" s="438"/>
      <c r="AQ177" s="438"/>
      <c r="AR177" s="438"/>
      <c r="AS177" s="438"/>
      <c r="AT177" s="29"/>
      <c r="AU177" s="30"/>
      <c r="AV177" s="30"/>
      <c r="AW177" s="30"/>
      <c r="AX177" s="30"/>
    </row>
    <row r="178" spans="1:50" ht="11.25" customHeight="1">
      <c r="A178" s="1"/>
      <c r="B178" s="442"/>
      <c r="C178" s="445"/>
      <c r="D178" s="448"/>
      <c r="E178" s="451"/>
      <c r="F178" s="454"/>
      <c r="G178" s="454"/>
      <c r="H178" s="471"/>
      <c r="I178" s="473"/>
      <c r="J178" s="473"/>
      <c r="K178" s="471"/>
      <c r="L178" s="44">
        <f t="shared" ref="L178" si="227">ROUNDUP(L177/60,2)</f>
        <v>0</v>
      </c>
      <c r="M178" s="44"/>
      <c r="N178" s="476"/>
      <c r="O178" s="46"/>
      <c r="P178" s="46"/>
      <c r="Q178" s="47"/>
      <c r="R178" s="47"/>
      <c r="S178" s="47"/>
      <c r="T178" s="48"/>
      <c r="U178" s="462"/>
      <c r="V178" s="462"/>
      <c r="W178" s="36"/>
      <c r="X178" s="49"/>
      <c r="Y178" s="50"/>
      <c r="Z178" s="50"/>
      <c r="AA178" s="50"/>
      <c r="AB178" s="51"/>
      <c r="AC178" s="52"/>
      <c r="AD178" s="465"/>
      <c r="AE178" s="53"/>
      <c r="AF178" s="54"/>
      <c r="AG178" s="55"/>
      <c r="AH178" s="468"/>
      <c r="AI178" s="468"/>
      <c r="AJ178" s="55"/>
      <c r="AK178" s="1"/>
      <c r="AL178" s="438"/>
      <c r="AM178" s="438"/>
      <c r="AN178" s="438"/>
      <c r="AO178" s="438"/>
      <c r="AP178" s="438"/>
      <c r="AQ178" s="438"/>
      <c r="AR178" s="438"/>
      <c r="AS178" s="438"/>
      <c r="AT178" s="29"/>
      <c r="AU178" s="30"/>
      <c r="AV178" s="30"/>
      <c r="AW178" s="30"/>
      <c r="AX178" s="30"/>
    </row>
    <row r="179" spans="1:50" ht="11.25" customHeight="1">
      <c r="A179" s="1"/>
      <c r="B179" s="442"/>
      <c r="C179" s="445"/>
      <c r="D179" s="448"/>
      <c r="E179" s="451"/>
      <c r="F179" s="454"/>
      <c r="G179" s="454"/>
      <c r="H179" s="471"/>
      <c r="I179" s="473"/>
      <c r="J179" s="473"/>
      <c r="K179" s="471"/>
      <c r="L179" s="44">
        <f t="shared" ref="L179" si="228">IF(L178&gt;0,L178-HOUR(H175)-MINUTE(H175)/60,0)</f>
        <v>0</v>
      </c>
      <c r="M179" s="56">
        <f t="shared" ref="M179" si="229">TIME(L179-MOD(L179,1),MOD(L179,1)*60,0)</f>
        <v>0</v>
      </c>
      <c r="N179" s="476"/>
      <c r="O179" s="45">
        <f t="shared" ref="O179" si="230">M181</f>
        <v>0</v>
      </c>
      <c r="P179" s="45">
        <f t="shared" ref="P179" si="231">SUMIF(AB175:AB184,"1.25",AC175:AC184)+SUMIF(AB175:AB184,"他時間外",AC175:AC184)+SUMIF(AB175:AB184,"1.35",AC175:AC184)</f>
        <v>0</v>
      </c>
      <c r="Q179" s="47"/>
      <c r="R179" s="47"/>
      <c r="S179" s="47"/>
      <c r="T179" s="48"/>
      <c r="U179" s="462"/>
      <c r="V179" s="462"/>
      <c r="W179" s="36"/>
      <c r="X179" s="49"/>
      <c r="Y179" s="50"/>
      <c r="Z179" s="50"/>
      <c r="AA179" s="50"/>
      <c r="AB179" s="51"/>
      <c r="AC179" s="52"/>
      <c r="AD179" s="465"/>
      <c r="AE179" s="53"/>
      <c r="AF179" s="54"/>
      <c r="AG179" s="55"/>
      <c r="AH179" s="468"/>
      <c r="AI179" s="468"/>
      <c r="AJ179" s="55"/>
      <c r="AK179" s="1"/>
      <c r="AL179" s="438"/>
      <c r="AM179" s="438"/>
      <c r="AN179" s="438"/>
      <c r="AO179" s="438"/>
      <c r="AP179" s="438"/>
      <c r="AQ179" s="438"/>
      <c r="AR179" s="438"/>
      <c r="AS179" s="438"/>
      <c r="AT179" s="29"/>
      <c r="AU179" s="30"/>
      <c r="AV179" s="30"/>
      <c r="AW179" s="30"/>
      <c r="AX179" s="30"/>
    </row>
    <row r="180" spans="1:50" ht="11.25" customHeight="1">
      <c r="A180" s="1"/>
      <c r="B180" s="442"/>
      <c r="C180" s="445"/>
      <c r="D180" s="448"/>
      <c r="E180" s="451"/>
      <c r="F180" s="454"/>
      <c r="G180" s="454"/>
      <c r="H180" s="471"/>
      <c r="I180" s="473"/>
      <c r="J180" s="473"/>
      <c r="K180" s="471"/>
      <c r="L180" s="44">
        <f t="shared" ref="L180" si="232">L179-$L$12</f>
        <v>-7.75</v>
      </c>
      <c r="M180" s="44"/>
      <c r="N180" s="476"/>
      <c r="O180" s="46"/>
      <c r="P180" s="46"/>
      <c r="Q180" s="47"/>
      <c r="R180" s="47"/>
      <c r="S180" s="47"/>
      <c r="T180" s="48"/>
      <c r="U180" s="462"/>
      <c r="V180" s="462"/>
      <c r="W180" s="36"/>
      <c r="X180" s="49"/>
      <c r="Y180" s="50"/>
      <c r="Z180" s="50"/>
      <c r="AA180" s="50"/>
      <c r="AB180" s="51"/>
      <c r="AC180" s="52"/>
      <c r="AD180" s="465"/>
      <c r="AE180" s="53"/>
      <c r="AF180" s="54"/>
      <c r="AG180" s="55"/>
      <c r="AH180" s="468"/>
      <c r="AI180" s="468"/>
      <c r="AJ180" s="55"/>
      <c r="AK180" s="1"/>
      <c r="AL180" s="438"/>
      <c r="AM180" s="438"/>
      <c r="AN180" s="438"/>
      <c r="AO180" s="438"/>
      <c r="AP180" s="438"/>
      <c r="AQ180" s="438"/>
      <c r="AR180" s="438"/>
      <c r="AS180" s="438"/>
      <c r="AT180" s="29"/>
      <c r="AU180" s="30"/>
      <c r="AV180" s="30"/>
      <c r="AW180" s="30"/>
      <c r="AX180" s="30"/>
    </row>
    <row r="181" spans="1:50" ht="11.25" customHeight="1">
      <c r="A181" s="1"/>
      <c r="B181" s="442"/>
      <c r="C181" s="445"/>
      <c r="D181" s="448"/>
      <c r="E181" s="451"/>
      <c r="F181" s="454"/>
      <c r="G181" s="454"/>
      <c r="H181" s="471"/>
      <c r="I181" s="473"/>
      <c r="J181" s="473"/>
      <c r="K181" s="471"/>
      <c r="L181" s="44">
        <f t="shared" ref="L181" si="233">IF($I$3= "協力会社",0,IF(L180&gt;0,L180,0))</f>
        <v>0</v>
      </c>
      <c r="M181" s="56">
        <f t="shared" ref="M181" si="234">TIME(L181-MOD(L181,1),MOD(L181,1)*60,0)</f>
        <v>0</v>
      </c>
      <c r="N181" s="476"/>
      <c r="O181" s="46"/>
      <c r="P181" s="45">
        <f t="shared" ref="P181" si="235">SUMIF(AB175:AB184,"0.25深夜",AC175:AC184)</f>
        <v>0</v>
      </c>
      <c r="Q181" s="47"/>
      <c r="R181" s="47"/>
      <c r="S181" s="47"/>
      <c r="T181" s="48"/>
      <c r="U181" s="462"/>
      <c r="V181" s="462"/>
      <c r="W181" s="36"/>
      <c r="X181" s="49"/>
      <c r="Y181" s="50"/>
      <c r="Z181" s="50"/>
      <c r="AA181" s="50"/>
      <c r="AB181" s="51"/>
      <c r="AC181" s="52"/>
      <c r="AD181" s="465"/>
      <c r="AE181" s="53"/>
      <c r="AF181" s="54"/>
      <c r="AG181" s="55"/>
      <c r="AH181" s="468"/>
      <c r="AI181" s="468"/>
      <c r="AJ181" s="55"/>
      <c r="AK181" s="1"/>
      <c r="AL181" s="438"/>
      <c r="AM181" s="438"/>
      <c r="AN181" s="438"/>
      <c r="AO181" s="438"/>
      <c r="AP181" s="438"/>
      <c r="AQ181" s="438"/>
      <c r="AR181" s="438"/>
      <c r="AS181" s="438"/>
      <c r="AT181" s="29"/>
      <c r="AU181" s="30"/>
      <c r="AV181" s="30"/>
      <c r="AW181" s="30"/>
      <c r="AX181" s="30"/>
    </row>
    <row r="182" spans="1:50" ht="11.25" customHeight="1">
      <c r="A182" s="1"/>
      <c r="B182" s="442"/>
      <c r="C182" s="445"/>
      <c r="D182" s="448"/>
      <c r="E182" s="451"/>
      <c r="F182" s="454"/>
      <c r="G182" s="454"/>
      <c r="H182" s="471"/>
      <c r="I182" s="473"/>
      <c r="J182" s="473"/>
      <c r="K182" s="471"/>
      <c r="L182" s="44"/>
      <c r="M182" s="44"/>
      <c r="N182" s="476"/>
      <c r="O182" s="46"/>
      <c r="P182" s="46"/>
      <c r="Q182" s="47"/>
      <c r="R182" s="47"/>
      <c r="S182" s="47"/>
      <c r="T182" s="48"/>
      <c r="U182" s="462"/>
      <c r="V182" s="462"/>
      <c r="W182" s="36"/>
      <c r="X182" s="49"/>
      <c r="Y182" s="50"/>
      <c r="Z182" s="50"/>
      <c r="AA182" s="50"/>
      <c r="AB182" s="51"/>
      <c r="AC182" s="52"/>
      <c r="AD182" s="465"/>
      <c r="AE182" s="53"/>
      <c r="AF182" s="54"/>
      <c r="AG182" s="55"/>
      <c r="AH182" s="468"/>
      <c r="AI182" s="468"/>
      <c r="AJ182" s="55"/>
      <c r="AK182" s="1"/>
      <c r="AL182" s="438"/>
      <c r="AM182" s="438"/>
      <c r="AN182" s="438"/>
      <c r="AO182" s="438"/>
      <c r="AP182" s="438"/>
      <c r="AQ182" s="438"/>
      <c r="AR182" s="438"/>
      <c r="AS182" s="438"/>
      <c r="AT182" s="29"/>
      <c r="AU182" s="30"/>
      <c r="AV182" s="30"/>
      <c r="AW182" s="30"/>
      <c r="AX182" s="30"/>
    </row>
    <row r="183" spans="1:50" ht="11.25" customHeight="1">
      <c r="A183" s="1"/>
      <c r="B183" s="442"/>
      <c r="C183" s="445"/>
      <c r="D183" s="448"/>
      <c r="E183" s="451"/>
      <c r="F183" s="454"/>
      <c r="G183" s="454"/>
      <c r="H183" s="471"/>
      <c r="I183" s="473"/>
      <c r="J183" s="473"/>
      <c r="K183" s="471"/>
      <c r="L183" s="44"/>
      <c r="M183" s="44"/>
      <c r="N183" s="478"/>
      <c r="O183" s="57">
        <f t="shared" ref="O183" si="236">O175+O179</f>
        <v>0</v>
      </c>
      <c r="P183" s="57">
        <f t="shared" ref="P183" si="237">SUM(P175:P179)</f>
        <v>0</v>
      </c>
      <c r="Q183" s="47"/>
      <c r="R183" s="47"/>
      <c r="S183" s="47"/>
      <c r="T183" s="48"/>
      <c r="U183" s="462"/>
      <c r="V183" s="462"/>
      <c r="W183" s="36"/>
      <c r="X183" s="49"/>
      <c r="Y183" s="49"/>
      <c r="Z183" s="49"/>
      <c r="AA183" s="49"/>
      <c r="AB183" s="51"/>
      <c r="AC183" s="52"/>
      <c r="AD183" s="465"/>
      <c r="AE183" s="53"/>
      <c r="AF183" s="59"/>
      <c r="AG183" s="60"/>
      <c r="AH183" s="468"/>
      <c r="AI183" s="468"/>
      <c r="AJ183" s="55"/>
      <c r="AK183" s="1"/>
      <c r="AL183" s="438"/>
      <c r="AM183" s="438"/>
      <c r="AN183" s="438"/>
      <c r="AO183" s="438"/>
      <c r="AP183" s="438"/>
      <c r="AQ183" s="438"/>
      <c r="AR183" s="438"/>
      <c r="AS183" s="438"/>
      <c r="AT183" s="29"/>
      <c r="AU183" s="30"/>
      <c r="AV183" s="30"/>
      <c r="AW183" s="30"/>
      <c r="AX183" s="30"/>
    </row>
    <row r="184" spans="1:50" ht="11.25" customHeight="1">
      <c r="A184" s="1"/>
      <c r="B184" s="443"/>
      <c r="C184" s="446"/>
      <c r="D184" s="449"/>
      <c r="E184" s="452"/>
      <c r="F184" s="455"/>
      <c r="G184" s="455"/>
      <c r="H184" s="472"/>
      <c r="I184" s="474"/>
      <c r="J184" s="474"/>
      <c r="K184" s="472"/>
      <c r="L184" s="61"/>
      <c r="M184" s="61"/>
      <c r="N184" s="477"/>
      <c r="O184" s="62"/>
      <c r="P184" s="62"/>
      <c r="Q184" s="63"/>
      <c r="R184" s="63"/>
      <c r="S184" s="63"/>
      <c r="T184" s="64"/>
      <c r="U184" s="463"/>
      <c r="V184" s="463"/>
      <c r="W184" s="65"/>
      <c r="X184" s="66"/>
      <c r="Y184" s="67"/>
      <c r="Z184" s="67"/>
      <c r="AA184" s="67"/>
      <c r="AB184" s="68"/>
      <c r="AC184" s="69"/>
      <c r="AD184" s="466"/>
      <c r="AE184" s="70"/>
      <c r="AF184" s="71"/>
      <c r="AG184" s="72"/>
      <c r="AH184" s="469"/>
      <c r="AI184" s="469"/>
      <c r="AJ184" s="72"/>
      <c r="AK184" s="1"/>
      <c r="AL184" s="439"/>
      <c r="AM184" s="439"/>
      <c r="AN184" s="439"/>
      <c r="AO184" s="439"/>
      <c r="AP184" s="439"/>
      <c r="AQ184" s="439"/>
      <c r="AR184" s="439"/>
      <c r="AS184" s="439"/>
      <c r="AT184" s="29"/>
      <c r="AU184" s="30"/>
      <c r="AV184" s="30"/>
      <c r="AW184" s="30"/>
      <c r="AX184" s="30"/>
    </row>
    <row r="185" spans="1:50">
      <c r="A185" s="1"/>
      <c r="B185" s="441">
        <f>IF(B175="","",IF(B175+1&gt;$AB$3,"",B175+1))</f>
        <v>44669</v>
      </c>
      <c r="C185" s="444">
        <f>IF(C175="","",IF(C175+1&gt;$AB$3,"",C175+1))</f>
        <v>44669</v>
      </c>
      <c r="D185" s="447">
        <f>IF(C185="","",WEEKDAY(C185,1))</f>
        <v>2</v>
      </c>
      <c r="E185" s="450" t="str">
        <f>IF($D185="","",IF(NOT(ISERROR(MATCH($C185,祝日テーブル,0)=TRUE)),IF($D185=1,"法定","法定外"),IF($D185=1,"法定",IF($D185=7,"法定外",""))))</f>
        <v/>
      </c>
      <c r="F185" s="453">
        <v>900</v>
      </c>
      <c r="G185" s="453">
        <v>1745</v>
      </c>
      <c r="H185" s="470">
        <v>4.1666666666666664E-2</v>
      </c>
      <c r="I185" s="473"/>
      <c r="J185" s="473"/>
      <c r="K185" s="471"/>
      <c r="L185" s="32">
        <f t="shared" ref="L185" si="238">MOD(F185,100)+FLOOR(F185/100,1)*60</f>
        <v>540</v>
      </c>
      <c r="M185" s="32"/>
      <c r="N185" s="475"/>
      <c r="O185" s="33">
        <f t="shared" ref="O185" si="239">IF($I$3= "協力会社",M189,IF(L189&gt;=$L$12,$M$12,IF(L189&gt;0,M189,0)))</f>
        <v>0.32291666666666669</v>
      </c>
      <c r="P185" s="33">
        <f t="shared" ref="P185" si="240">SUMIF(AB185:AB194,"1.00",AC185:AC194)+SUMIF(AB185:AB194,"振休取得",AC185:AC194)</f>
        <v>0.32291666666666669</v>
      </c>
      <c r="Q185" s="34"/>
      <c r="R185" s="34"/>
      <c r="S185" s="34"/>
      <c r="T185" s="35"/>
      <c r="U185" s="462"/>
      <c r="V185" s="462"/>
      <c r="W185" s="36" t="s">
        <v>649</v>
      </c>
      <c r="X185" s="37" t="s">
        <v>608</v>
      </c>
      <c r="Y185" s="37"/>
      <c r="Z185" s="37" t="s">
        <v>650</v>
      </c>
      <c r="AA185" s="37"/>
      <c r="AB185" s="38" t="s">
        <v>121</v>
      </c>
      <c r="AC185" s="39">
        <v>0.32291666666666669</v>
      </c>
      <c r="AD185" s="464"/>
      <c r="AE185" s="40"/>
      <c r="AF185" s="41"/>
      <c r="AG185" s="42"/>
      <c r="AH185" s="467" t="s">
        <v>652</v>
      </c>
      <c r="AI185" s="467" t="s">
        <v>653</v>
      </c>
      <c r="AJ185" s="73"/>
      <c r="AK185" s="1"/>
      <c r="AL185" s="437"/>
      <c r="AM185" s="437"/>
      <c r="AN185" s="437"/>
      <c r="AO185" s="437"/>
      <c r="AP185" s="437"/>
      <c r="AQ185" s="437"/>
      <c r="AR185" s="437"/>
      <c r="AS185" s="437"/>
      <c r="AT185" s="29"/>
      <c r="AU185" s="30"/>
      <c r="AV185" s="30"/>
      <c r="AW185" s="30"/>
      <c r="AX185" s="30"/>
    </row>
    <row r="186" spans="1:50" ht="11.25" customHeight="1">
      <c r="A186" s="1"/>
      <c r="B186" s="442"/>
      <c r="C186" s="445"/>
      <c r="D186" s="448"/>
      <c r="E186" s="451"/>
      <c r="F186" s="454"/>
      <c r="G186" s="454"/>
      <c r="H186" s="471"/>
      <c r="I186" s="473"/>
      <c r="J186" s="473"/>
      <c r="K186" s="471"/>
      <c r="L186" s="44">
        <f t="shared" ref="L186" si="241">MOD(G185,100)+FLOOR(G185/100,1)*60</f>
        <v>1065</v>
      </c>
      <c r="M186" s="44"/>
      <c r="N186" s="476"/>
      <c r="O186" s="45"/>
      <c r="P186" s="46"/>
      <c r="Q186" s="47"/>
      <c r="R186" s="47"/>
      <c r="S186" s="47"/>
      <c r="T186" s="48"/>
      <c r="U186" s="462"/>
      <c r="V186" s="462"/>
      <c r="W186" s="36"/>
      <c r="X186" s="49"/>
      <c r="Y186" s="50"/>
      <c r="Z186" s="50"/>
      <c r="AA186" s="50"/>
      <c r="AB186" s="51"/>
      <c r="AC186" s="52"/>
      <c r="AD186" s="465"/>
      <c r="AE186" s="53"/>
      <c r="AF186" s="54"/>
      <c r="AG186" s="55"/>
      <c r="AH186" s="468"/>
      <c r="AI186" s="468"/>
      <c r="AJ186" s="55"/>
      <c r="AK186" s="1"/>
      <c r="AL186" s="438"/>
      <c r="AM186" s="438"/>
      <c r="AN186" s="438"/>
      <c r="AO186" s="438"/>
      <c r="AP186" s="438"/>
      <c r="AQ186" s="438"/>
      <c r="AR186" s="438"/>
      <c r="AS186" s="438"/>
      <c r="AT186" s="29"/>
      <c r="AU186" s="30"/>
      <c r="AV186" s="30"/>
      <c r="AW186" s="30"/>
      <c r="AX186" s="30"/>
    </row>
    <row r="187" spans="1:50" ht="11.25" customHeight="1">
      <c r="A187" s="1"/>
      <c r="B187" s="442"/>
      <c r="C187" s="445"/>
      <c r="D187" s="448"/>
      <c r="E187" s="451"/>
      <c r="F187" s="454"/>
      <c r="G187" s="454"/>
      <c r="H187" s="471"/>
      <c r="I187" s="473"/>
      <c r="J187" s="473"/>
      <c r="K187" s="471"/>
      <c r="L187" s="44">
        <f t="shared" ref="L187" si="242">L186-L185</f>
        <v>525</v>
      </c>
      <c r="M187" s="44"/>
      <c r="N187" s="476"/>
      <c r="O187" s="46"/>
      <c r="P187" s="45">
        <f t="shared" ref="P187" si="243">SUMIF(AB185:AB194,"有休",AC185:AC194)+SUMIF(AB185:AB194,"無給休",AC185:AC194)+SUMIF(AB185:AB194,"振休",AC185:AC194)+SUMIF(AB185:AB194,"特休",AC185:AC194)</f>
        <v>0</v>
      </c>
      <c r="Q187" s="47"/>
      <c r="R187" s="47"/>
      <c r="S187" s="47"/>
      <c r="T187" s="48"/>
      <c r="U187" s="462"/>
      <c r="V187" s="462"/>
      <c r="W187" s="36"/>
      <c r="X187" s="49"/>
      <c r="Y187" s="50"/>
      <c r="Z187" s="50"/>
      <c r="AA187" s="50"/>
      <c r="AB187" s="51"/>
      <c r="AC187" s="52"/>
      <c r="AD187" s="465"/>
      <c r="AE187" s="53"/>
      <c r="AF187" s="54"/>
      <c r="AG187" s="55"/>
      <c r="AH187" s="468"/>
      <c r="AI187" s="468"/>
      <c r="AJ187" s="54"/>
      <c r="AK187" s="1"/>
      <c r="AL187" s="438"/>
      <c r="AM187" s="438"/>
      <c r="AN187" s="438"/>
      <c r="AO187" s="438"/>
      <c r="AP187" s="438"/>
      <c r="AQ187" s="438"/>
      <c r="AR187" s="438"/>
      <c r="AS187" s="438"/>
      <c r="AT187" s="29"/>
      <c r="AU187" s="30"/>
      <c r="AV187" s="30"/>
      <c r="AW187" s="30"/>
      <c r="AX187" s="30"/>
    </row>
    <row r="188" spans="1:50" ht="11.25" customHeight="1">
      <c r="A188" s="1"/>
      <c r="B188" s="442"/>
      <c r="C188" s="445"/>
      <c r="D188" s="448"/>
      <c r="E188" s="451"/>
      <c r="F188" s="454"/>
      <c r="G188" s="454"/>
      <c r="H188" s="471"/>
      <c r="I188" s="473"/>
      <c r="J188" s="473"/>
      <c r="K188" s="471"/>
      <c r="L188" s="44">
        <f t="shared" ref="L188" si="244">ROUNDUP(L187/60,2)</f>
        <v>8.75</v>
      </c>
      <c r="M188" s="44"/>
      <c r="N188" s="476"/>
      <c r="O188" s="46"/>
      <c r="P188" s="46"/>
      <c r="Q188" s="47"/>
      <c r="R188" s="47"/>
      <c r="S188" s="47"/>
      <c r="T188" s="48"/>
      <c r="U188" s="462"/>
      <c r="V188" s="462"/>
      <c r="W188" s="36"/>
      <c r="X188" s="49"/>
      <c r="Y188" s="50"/>
      <c r="Z188" s="50"/>
      <c r="AA188" s="50"/>
      <c r="AB188" s="51"/>
      <c r="AC188" s="52"/>
      <c r="AD188" s="465"/>
      <c r="AE188" s="53"/>
      <c r="AF188" s="54"/>
      <c r="AG188" s="55"/>
      <c r="AH188" s="468"/>
      <c r="AI188" s="468"/>
      <c r="AJ188" s="55"/>
      <c r="AK188" s="1"/>
      <c r="AL188" s="438"/>
      <c r="AM188" s="438"/>
      <c r="AN188" s="438"/>
      <c r="AO188" s="438"/>
      <c r="AP188" s="438"/>
      <c r="AQ188" s="438"/>
      <c r="AR188" s="438"/>
      <c r="AS188" s="438"/>
      <c r="AT188" s="29"/>
      <c r="AU188" s="30"/>
      <c r="AV188" s="30"/>
      <c r="AW188" s="30"/>
      <c r="AX188" s="30"/>
    </row>
    <row r="189" spans="1:50" ht="11.25" customHeight="1">
      <c r="A189" s="1"/>
      <c r="B189" s="442"/>
      <c r="C189" s="445"/>
      <c r="D189" s="448"/>
      <c r="E189" s="451"/>
      <c r="F189" s="454"/>
      <c r="G189" s="454"/>
      <c r="H189" s="471"/>
      <c r="I189" s="473"/>
      <c r="J189" s="473"/>
      <c r="K189" s="471"/>
      <c r="L189" s="44">
        <f t="shared" ref="L189" si="245">IF(L188&gt;0,L188-HOUR(H185)-MINUTE(H185)/60,0)</f>
        <v>7.75</v>
      </c>
      <c r="M189" s="56">
        <f t="shared" ref="M189" si="246">TIME(L189-MOD(L189,1),MOD(L189,1)*60,0)</f>
        <v>0.32291666666666669</v>
      </c>
      <c r="N189" s="476"/>
      <c r="O189" s="45">
        <f t="shared" ref="O189" si="247">M191</f>
        <v>0</v>
      </c>
      <c r="P189" s="45">
        <f t="shared" ref="P189" si="248">SUMIF(AB185:AB194,"1.25",AC185:AC194)+SUMIF(AB185:AB194,"他時間外",AC185:AC194)+SUMIF(AB185:AB194,"1.35",AC185:AC194)</f>
        <v>0</v>
      </c>
      <c r="Q189" s="47"/>
      <c r="R189" s="47"/>
      <c r="S189" s="47"/>
      <c r="T189" s="48"/>
      <c r="U189" s="462"/>
      <c r="V189" s="462"/>
      <c r="W189" s="36"/>
      <c r="X189" s="49"/>
      <c r="Y189" s="50"/>
      <c r="Z189" s="50"/>
      <c r="AA189" s="50"/>
      <c r="AB189" s="51"/>
      <c r="AC189" s="52"/>
      <c r="AD189" s="465"/>
      <c r="AE189" s="53"/>
      <c r="AF189" s="54"/>
      <c r="AG189" s="55"/>
      <c r="AH189" s="468"/>
      <c r="AI189" s="468"/>
      <c r="AJ189" s="55"/>
      <c r="AK189" s="1"/>
      <c r="AL189" s="438"/>
      <c r="AM189" s="438"/>
      <c r="AN189" s="438"/>
      <c r="AO189" s="438"/>
      <c r="AP189" s="438"/>
      <c r="AQ189" s="438"/>
      <c r="AR189" s="438"/>
      <c r="AS189" s="438"/>
      <c r="AT189" s="29"/>
      <c r="AU189" s="30"/>
      <c r="AV189" s="30"/>
      <c r="AW189" s="30"/>
      <c r="AX189" s="30"/>
    </row>
    <row r="190" spans="1:50" ht="11.25" customHeight="1">
      <c r="A190" s="1"/>
      <c r="B190" s="442"/>
      <c r="C190" s="445"/>
      <c r="D190" s="448"/>
      <c r="E190" s="451"/>
      <c r="F190" s="454"/>
      <c r="G190" s="454"/>
      <c r="H190" s="471"/>
      <c r="I190" s="473"/>
      <c r="J190" s="473"/>
      <c r="K190" s="471"/>
      <c r="L190" s="44">
        <f t="shared" ref="L190" si="249">L189-$L$12</f>
        <v>0</v>
      </c>
      <c r="M190" s="44"/>
      <c r="N190" s="476"/>
      <c r="O190" s="46"/>
      <c r="P190" s="46"/>
      <c r="Q190" s="47"/>
      <c r="R190" s="47"/>
      <c r="S190" s="47"/>
      <c r="T190" s="48"/>
      <c r="U190" s="462"/>
      <c r="V190" s="462"/>
      <c r="W190" s="36"/>
      <c r="X190" s="49"/>
      <c r="Y190" s="50"/>
      <c r="Z190" s="50"/>
      <c r="AA190" s="50"/>
      <c r="AB190" s="51"/>
      <c r="AC190" s="52"/>
      <c r="AD190" s="465"/>
      <c r="AE190" s="53"/>
      <c r="AF190" s="54"/>
      <c r="AG190" s="55"/>
      <c r="AH190" s="468"/>
      <c r="AI190" s="468"/>
      <c r="AJ190" s="55"/>
      <c r="AK190" s="1"/>
      <c r="AL190" s="438"/>
      <c r="AM190" s="438"/>
      <c r="AN190" s="438"/>
      <c r="AO190" s="438"/>
      <c r="AP190" s="438"/>
      <c r="AQ190" s="438"/>
      <c r="AR190" s="438"/>
      <c r="AS190" s="438"/>
      <c r="AT190" s="29"/>
      <c r="AU190" s="30"/>
      <c r="AV190" s="30"/>
      <c r="AW190" s="30"/>
      <c r="AX190" s="30"/>
    </row>
    <row r="191" spans="1:50" ht="11.25" customHeight="1">
      <c r="A191" s="1"/>
      <c r="B191" s="442"/>
      <c r="C191" s="445"/>
      <c r="D191" s="448"/>
      <c r="E191" s="451"/>
      <c r="F191" s="454"/>
      <c r="G191" s="454"/>
      <c r="H191" s="471"/>
      <c r="I191" s="473"/>
      <c r="J191" s="473"/>
      <c r="K191" s="471"/>
      <c r="L191" s="44">
        <f t="shared" ref="L191" si="250">IF($I$3= "協力会社",0,IF(L190&gt;0,L190,0))</f>
        <v>0</v>
      </c>
      <c r="M191" s="56">
        <f t="shared" ref="M191" si="251">TIME(L191-MOD(L191,1),MOD(L191,1)*60,0)</f>
        <v>0</v>
      </c>
      <c r="N191" s="476"/>
      <c r="O191" s="46"/>
      <c r="P191" s="45">
        <f t="shared" ref="P191" si="252">SUMIF(AB185:AB194,"0.25深夜",AC185:AC194)</f>
        <v>0</v>
      </c>
      <c r="Q191" s="47"/>
      <c r="R191" s="47"/>
      <c r="S191" s="47"/>
      <c r="T191" s="48"/>
      <c r="U191" s="462"/>
      <c r="V191" s="462"/>
      <c r="W191" s="36"/>
      <c r="X191" s="49"/>
      <c r="Y191" s="50"/>
      <c r="Z191" s="50"/>
      <c r="AA191" s="50"/>
      <c r="AB191" s="51"/>
      <c r="AC191" s="52"/>
      <c r="AD191" s="465"/>
      <c r="AE191" s="53"/>
      <c r="AF191" s="54"/>
      <c r="AG191" s="55"/>
      <c r="AH191" s="468"/>
      <c r="AI191" s="468"/>
      <c r="AJ191" s="55"/>
      <c r="AK191" s="1"/>
      <c r="AL191" s="438"/>
      <c r="AM191" s="438"/>
      <c r="AN191" s="438"/>
      <c r="AO191" s="438"/>
      <c r="AP191" s="438"/>
      <c r="AQ191" s="438"/>
      <c r="AR191" s="438"/>
      <c r="AS191" s="438"/>
      <c r="AT191" s="29"/>
      <c r="AU191" s="30"/>
      <c r="AV191" s="30"/>
      <c r="AW191" s="30"/>
      <c r="AX191" s="30"/>
    </row>
    <row r="192" spans="1:50" ht="11.25" customHeight="1">
      <c r="A192" s="1"/>
      <c r="B192" s="442"/>
      <c r="C192" s="445"/>
      <c r="D192" s="448"/>
      <c r="E192" s="451"/>
      <c r="F192" s="454"/>
      <c r="G192" s="454"/>
      <c r="H192" s="471"/>
      <c r="I192" s="473"/>
      <c r="J192" s="473"/>
      <c r="K192" s="471"/>
      <c r="L192" s="44"/>
      <c r="M192" s="44"/>
      <c r="N192" s="476"/>
      <c r="O192" s="46"/>
      <c r="P192" s="46"/>
      <c r="Q192" s="47"/>
      <c r="R192" s="47"/>
      <c r="S192" s="47"/>
      <c r="T192" s="48"/>
      <c r="U192" s="462"/>
      <c r="V192" s="462"/>
      <c r="W192" s="36"/>
      <c r="X192" s="49"/>
      <c r="Y192" s="50"/>
      <c r="Z192" s="50"/>
      <c r="AA192" s="50"/>
      <c r="AB192" s="51"/>
      <c r="AC192" s="52"/>
      <c r="AD192" s="465"/>
      <c r="AE192" s="53"/>
      <c r="AF192" s="54"/>
      <c r="AG192" s="55"/>
      <c r="AH192" s="468"/>
      <c r="AI192" s="468"/>
      <c r="AJ192" s="55"/>
      <c r="AK192" s="1"/>
      <c r="AL192" s="438"/>
      <c r="AM192" s="438"/>
      <c r="AN192" s="438"/>
      <c r="AO192" s="438"/>
      <c r="AP192" s="438"/>
      <c r="AQ192" s="438"/>
      <c r="AR192" s="438"/>
      <c r="AS192" s="438"/>
      <c r="AT192" s="29"/>
      <c r="AU192" s="30"/>
      <c r="AV192" s="30"/>
      <c r="AW192" s="30"/>
      <c r="AX192" s="30"/>
    </row>
    <row r="193" spans="1:50" ht="11.25" customHeight="1">
      <c r="A193" s="1"/>
      <c r="B193" s="442"/>
      <c r="C193" s="445"/>
      <c r="D193" s="448"/>
      <c r="E193" s="451"/>
      <c r="F193" s="454"/>
      <c r="G193" s="454"/>
      <c r="H193" s="471"/>
      <c r="I193" s="473"/>
      <c r="J193" s="473"/>
      <c r="K193" s="471"/>
      <c r="L193" s="44"/>
      <c r="M193" s="44"/>
      <c r="N193" s="478"/>
      <c r="O193" s="57">
        <f t="shared" ref="O193" si="253">O185+O189</f>
        <v>0.32291666666666669</v>
      </c>
      <c r="P193" s="57">
        <f t="shared" ref="P193" si="254">SUM(P185:P189)</f>
        <v>0.32291666666666669</v>
      </c>
      <c r="Q193" s="47"/>
      <c r="R193" s="47"/>
      <c r="S193" s="47"/>
      <c r="T193" s="48"/>
      <c r="U193" s="462"/>
      <c r="V193" s="462"/>
      <c r="W193" s="36"/>
      <c r="X193" s="49"/>
      <c r="Y193" s="49"/>
      <c r="Z193" s="49"/>
      <c r="AA193" s="49"/>
      <c r="AB193" s="51"/>
      <c r="AC193" s="52"/>
      <c r="AD193" s="465"/>
      <c r="AE193" s="53"/>
      <c r="AF193" s="59"/>
      <c r="AG193" s="60"/>
      <c r="AH193" s="468"/>
      <c r="AI193" s="468"/>
      <c r="AJ193" s="55"/>
      <c r="AK193" s="1"/>
      <c r="AL193" s="438"/>
      <c r="AM193" s="438"/>
      <c r="AN193" s="438"/>
      <c r="AO193" s="438"/>
      <c r="AP193" s="438"/>
      <c r="AQ193" s="438"/>
      <c r="AR193" s="438"/>
      <c r="AS193" s="438"/>
      <c r="AT193" s="29"/>
      <c r="AU193" s="30"/>
      <c r="AV193" s="30"/>
      <c r="AW193" s="30"/>
      <c r="AX193" s="30"/>
    </row>
    <row r="194" spans="1:50" ht="11.25" customHeight="1">
      <c r="A194" s="1"/>
      <c r="B194" s="443"/>
      <c r="C194" s="446"/>
      <c r="D194" s="449"/>
      <c r="E194" s="452"/>
      <c r="F194" s="455"/>
      <c r="G194" s="455"/>
      <c r="H194" s="472"/>
      <c r="I194" s="474"/>
      <c r="J194" s="474"/>
      <c r="K194" s="472"/>
      <c r="L194" s="61"/>
      <c r="M194" s="61"/>
      <c r="N194" s="477"/>
      <c r="O194" s="62"/>
      <c r="P194" s="62"/>
      <c r="Q194" s="63"/>
      <c r="R194" s="63"/>
      <c r="S194" s="63"/>
      <c r="T194" s="64"/>
      <c r="U194" s="463"/>
      <c r="V194" s="463"/>
      <c r="W194" s="65"/>
      <c r="X194" s="66"/>
      <c r="Y194" s="67"/>
      <c r="Z194" s="67"/>
      <c r="AA194" s="67"/>
      <c r="AB194" s="68"/>
      <c r="AC194" s="69"/>
      <c r="AD194" s="466"/>
      <c r="AE194" s="70"/>
      <c r="AF194" s="71"/>
      <c r="AG194" s="72"/>
      <c r="AH194" s="469"/>
      <c r="AI194" s="469"/>
      <c r="AJ194" s="72"/>
      <c r="AK194" s="1"/>
      <c r="AL194" s="439"/>
      <c r="AM194" s="439"/>
      <c r="AN194" s="439"/>
      <c r="AO194" s="439"/>
      <c r="AP194" s="439"/>
      <c r="AQ194" s="439"/>
      <c r="AR194" s="439"/>
      <c r="AS194" s="439"/>
      <c r="AT194" s="29"/>
      <c r="AU194" s="30"/>
      <c r="AV194" s="30"/>
      <c r="AW194" s="30"/>
      <c r="AX194" s="30"/>
    </row>
    <row r="195" spans="1:50">
      <c r="A195" s="1"/>
      <c r="B195" s="441">
        <f>IF(B185="","",IF(B185+1&gt;$AB$3,"",B185+1))</f>
        <v>44670</v>
      </c>
      <c r="C195" s="444">
        <f>IF(C185="","",IF(C185+1&gt;$AB$3,"",C185+1))</f>
        <v>44670</v>
      </c>
      <c r="D195" s="447">
        <f>IF(C195="","",WEEKDAY(C195,1))</f>
        <v>3</v>
      </c>
      <c r="E195" s="450" t="str">
        <f>IF($D195="","",IF(NOT(ISERROR(MATCH($C195,祝日テーブル,0)=TRUE)),IF($D195=1,"法定","法定外"),IF($D195=1,"法定",IF($D195=7,"法定外",""))))</f>
        <v/>
      </c>
      <c r="F195" s="453">
        <v>800</v>
      </c>
      <c r="G195" s="453">
        <v>1700</v>
      </c>
      <c r="H195" s="470">
        <v>4.1666666666666664E-2</v>
      </c>
      <c r="I195" s="473"/>
      <c r="J195" s="473"/>
      <c r="K195" s="471"/>
      <c r="L195" s="32">
        <f t="shared" ref="L195" si="255">MOD(F195,100)+FLOOR(F195/100,1)*60</f>
        <v>480</v>
      </c>
      <c r="M195" s="32"/>
      <c r="N195" s="475"/>
      <c r="O195" s="33">
        <f t="shared" ref="O195" si="256">IF($I$3= "協力会社",M199,IF(L199&gt;=$L$12,$M$12,IF(L199&gt;0,M199,0)))</f>
        <v>0.33333333333333331</v>
      </c>
      <c r="P195" s="33">
        <f t="shared" ref="P195" si="257">SUMIF(AB195:AB204,"1.00",AC195:AC204)+SUMIF(AB195:AB204,"振休取得",AC195:AC204)</f>
        <v>0.33333333333333331</v>
      </c>
      <c r="Q195" s="34"/>
      <c r="R195" s="34"/>
      <c r="S195" s="34"/>
      <c r="T195" s="35"/>
      <c r="U195" s="462"/>
      <c r="V195" s="462"/>
      <c r="W195" s="36" t="s">
        <v>649</v>
      </c>
      <c r="X195" s="37" t="s">
        <v>608</v>
      </c>
      <c r="Y195" s="37"/>
      <c r="Z195" s="37" t="s">
        <v>650</v>
      </c>
      <c r="AA195" s="37"/>
      <c r="AB195" s="38" t="s">
        <v>121</v>
      </c>
      <c r="AC195" s="39">
        <v>0.33333333333333331</v>
      </c>
      <c r="AD195" s="464"/>
      <c r="AE195" s="40"/>
      <c r="AF195" s="41"/>
      <c r="AG195" s="42"/>
      <c r="AH195" s="467" t="s">
        <v>652</v>
      </c>
      <c r="AI195" s="467" t="s">
        <v>653</v>
      </c>
      <c r="AJ195" s="73"/>
      <c r="AK195" s="1"/>
      <c r="AL195" s="437"/>
      <c r="AM195" s="437"/>
      <c r="AN195" s="437"/>
      <c r="AO195" s="437"/>
      <c r="AP195" s="437"/>
      <c r="AQ195" s="437"/>
      <c r="AR195" s="437"/>
      <c r="AS195" s="437"/>
      <c r="AT195" s="29"/>
      <c r="AU195" s="30"/>
      <c r="AV195" s="30"/>
      <c r="AW195" s="30"/>
      <c r="AX195" s="30"/>
    </row>
    <row r="196" spans="1:50" ht="11.25" customHeight="1">
      <c r="A196" s="1"/>
      <c r="B196" s="442"/>
      <c r="C196" s="445"/>
      <c r="D196" s="448"/>
      <c r="E196" s="451"/>
      <c r="F196" s="454"/>
      <c r="G196" s="454"/>
      <c r="H196" s="471"/>
      <c r="I196" s="473"/>
      <c r="J196" s="473"/>
      <c r="K196" s="471"/>
      <c r="L196" s="44">
        <f t="shared" ref="L196" si="258">MOD(G195,100)+FLOOR(G195/100,1)*60</f>
        <v>1020</v>
      </c>
      <c r="M196" s="44"/>
      <c r="N196" s="476"/>
      <c r="O196" s="45"/>
      <c r="P196" s="46"/>
      <c r="Q196" s="47"/>
      <c r="R196" s="47"/>
      <c r="S196" s="47"/>
      <c r="T196" s="48"/>
      <c r="U196" s="462"/>
      <c r="V196" s="462"/>
      <c r="W196" s="36"/>
      <c r="X196" s="49"/>
      <c r="Y196" s="50"/>
      <c r="Z196" s="50"/>
      <c r="AA196" s="50"/>
      <c r="AB196" s="51"/>
      <c r="AC196" s="52"/>
      <c r="AD196" s="465"/>
      <c r="AE196" s="53"/>
      <c r="AF196" s="54"/>
      <c r="AG196" s="55"/>
      <c r="AH196" s="468"/>
      <c r="AI196" s="468"/>
      <c r="AJ196" s="55"/>
      <c r="AK196" s="1"/>
      <c r="AL196" s="438"/>
      <c r="AM196" s="438"/>
      <c r="AN196" s="438"/>
      <c r="AO196" s="438"/>
      <c r="AP196" s="438"/>
      <c r="AQ196" s="438"/>
      <c r="AR196" s="438"/>
      <c r="AS196" s="438"/>
      <c r="AT196" s="29"/>
      <c r="AU196" s="30"/>
      <c r="AV196" s="30"/>
      <c r="AW196" s="30"/>
      <c r="AX196" s="30"/>
    </row>
    <row r="197" spans="1:50" ht="11.25" customHeight="1">
      <c r="A197" s="1"/>
      <c r="B197" s="442"/>
      <c r="C197" s="445"/>
      <c r="D197" s="448"/>
      <c r="E197" s="451"/>
      <c r="F197" s="454"/>
      <c r="G197" s="454"/>
      <c r="H197" s="471"/>
      <c r="I197" s="473"/>
      <c r="J197" s="473"/>
      <c r="K197" s="471"/>
      <c r="L197" s="44">
        <f t="shared" ref="L197" si="259">L196-L195</f>
        <v>540</v>
      </c>
      <c r="M197" s="44"/>
      <c r="N197" s="476"/>
      <c r="O197" s="46"/>
      <c r="P197" s="45">
        <f t="shared" ref="P197" si="260">SUMIF(AB195:AB204,"有休",AC195:AC204)+SUMIF(AB195:AB204,"無給休",AC195:AC204)+SUMIF(AB195:AB204,"振休",AC195:AC204)+SUMIF(AB195:AB204,"特休",AC195:AC204)</f>
        <v>0</v>
      </c>
      <c r="Q197" s="47"/>
      <c r="R197" s="47"/>
      <c r="S197" s="47"/>
      <c r="T197" s="48"/>
      <c r="U197" s="462"/>
      <c r="V197" s="462"/>
      <c r="W197" s="36"/>
      <c r="X197" s="49"/>
      <c r="Y197" s="50"/>
      <c r="Z197" s="50"/>
      <c r="AA197" s="50"/>
      <c r="AB197" s="51"/>
      <c r="AC197" s="52"/>
      <c r="AD197" s="465"/>
      <c r="AE197" s="53"/>
      <c r="AF197" s="54"/>
      <c r="AG197" s="55"/>
      <c r="AH197" s="468"/>
      <c r="AI197" s="468"/>
      <c r="AJ197" s="54"/>
      <c r="AK197" s="1"/>
      <c r="AL197" s="438"/>
      <c r="AM197" s="438"/>
      <c r="AN197" s="438"/>
      <c r="AO197" s="438"/>
      <c r="AP197" s="438"/>
      <c r="AQ197" s="438"/>
      <c r="AR197" s="438"/>
      <c r="AS197" s="438"/>
      <c r="AT197" s="29"/>
      <c r="AU197" s="30"/>
      <c r="AV197" s="30"/>
      <c r="AW197" s="30"/>
      <c r="AX197" s="30"/>
    </row>
    <row r="198" spans="1:50" ht="11.25" customHeight="1">
      <c r="A198" s="1"/>
      <c r="B198" s="442"/>
      <c r="C198" s="445"/>
      <c r="D198" s="448"/>
      <c r="E198" s="451"/>
      <c r="F198" s="454"/>
      <c r="G198" s="454"/>
      <c r="H198" s="471"/>
      <c r="I198" s="473"/>
      <c r="J198" s="473"/>
      <c r="K198" s="471"/>
      <c r="L198" s="44">
        <f t="shared" ref="L198" si="261">ROUNDUP(L197/60,2)</f>
        <v>9</v>
      </c>
      <c r="M198" s="44"/>
      <c r="N198" s="476"/>
      <c r="O198" s="46"/>
      <c r="P198" s="46"/>
      <c r="Q198" s="47"/>
      <c r="R198" s="47"/>
      <c r="S198" s="47"/>
      <c r="T198" s="48"/>
      <c r="U198" s="462"/>
      <c r="V198" s="462"/>
      <c r="W198" s="36"/>
      <c r="X198" s="49"/>
      <c r="Y198" s="50"/>
      <c r="Z198" s="50"/>
      <c r="AA198" s="50"/>
      <c r="AB198" s="51"/>
      <c r="AC198" s="52"/>
      <c r="AD198" s="465"/>
      <c r="AE198" s="53"/>
      <c r="AF198" s="54"/>
      <c r="AG198" s="55"/>
      <c r="AH198" s="468"/>
      <c r="AI198" s="468"/>
      <c r="AJ198" s="55"/>
      <c r="AK198" s="1"/>
      <c r="AL198" s="438"/>
      <c r="AM198" s="438"/>
      <c r="AN198" s="438"/>
      <c r="AO198" s="438"/>
      <c r="AP198" s="438"/>
      <c r="AQ198" s="438"/>
      <c r="AR198" s="438"/>
      <c r="AS198" s="438"/>
      <c r="AT198" s="29"/>
      <c r="AU198" s="30"/>
      <c r="AV198" s="30"/>
      <c r="AW198" s="30"/>
      <c r="AX198" s="30"/>
    </row>
    <row r="199" spans="1:50" ht="11.25" customHeight="1">
      <c r="A199" s="1"/>
      <c r="B199" s="442"/>
      <c r="C199" s="445"/>
      <c r="D199" s="448"/>
      <c r="E199" s="451"/>
      <c r="F199" s="454"/>
      <c r="G199" s="454"/>
      <c r="H199" s="471"/>
      <c r="I199" s="473"/>
      <c r="J199" s="473"/>
      <c r="K199" s="471"/>
      <c r="L199" s="44">
        <f t="shared" ref="L199" si="262">IF(L198&gt;0,L198-HOUR(H195)-MINUTE(H195)/60,0)</f>
        <v>8</v>
      </c>
      <c r="M199" s="56">
        <f t="shared" ref="M199" si="263">TIME(L199-MOD(L199,1),MOD(L199,1)*60,0)</f>
        <v>0.33333333333333331</v>
      </c>
      <c r="N199" s="476"/>
      <c r="O199" s="45">
        <f t="shared" ref="O199" si="264">M201</f>
        <v>0</v>
      </c>
      <c r="P199" s="45">
        <f t="shared" ref="P199" si="265">SUMIF(AB195:AB204,"1.25",AC195:AC204)+SUMIF(AB195:AB204,"他時間外",AC195:AC204)+SUMIF(AB195:AB204,"1.35",AC195:AC204)</f>
        <v>0</v>
      </c>
      <c r="Q199" s="47"/>
      <c r="R199" s="47"/>
      <c r="S199" s="47"/>
      <c r="T199" s="48"/>
      <c r="U199" s="462"/>
      <c r="V199" s="462"/>
      <c r="W199" s="36"/>
      <c r="X199" s="49"/>
      <c r="Y199" s="50"/>
      <c r="Z199" s="50"/>
      <c r="AA199" s="50"/>
      <c r="AB199" s="51"/>
      <c r="AC199" s="52"/>
      <c r="AD199" s="465"/>
      <c r="AE199" s="53"/>
      <c r="AF199" s="54"/>
      <c r="AG199" s="55"/>
      <c r="AH199" s="468"/>
      <c r="AI199" s="468"/>
      <c r="AJ199" s="55"/>
      <c r="AK199" s="1"/>
      <c r="AL199" s="438"/>
      <c r="AM199" s="438"/>
      <c r="AN199" s="438"/>
      <c r="AO199" s="438"/>
      <c r="AP199" s="438"/>
      <c r="AQ199" s="438"/>
      <c r="AR199" s="438"/>
      <c r="AS199" s="438"/>
      <c r="AT199" s="29"/>
      <c r="AU199" s="30"/>
      <c r="AV199" s="30"/>
      <c r="AW199" s="30"/>
      <c r="AX199" s="30"/>
    </row>
    <row r="200" spans="1:50" ht="11.25" customHeight="1">
      <c r="A200" s="1"/>
      <c r="B200" s="442"/>
      <c r="C200" s="445"/>
      <c r="D200" s="448"/>
      <c r="E200" s="451"/>
      <c r="F200" s="454"/>
      <c r="G200" s="454"/>
      <c r="H200" s="471"/>
      <c r="I200" s="473"/>
      <c r="J200" s="473"/>
      <c r="K200" s="471"/>
      <c r="L200" s="44">
        <f t="shared" ref="L200" si="266">L199-$L$12</f>
        <v>0.25</v>
      </c>
      <c r="M200" s="44"/>
      <c r="N200" s="476"/>
      <c r="O200" s="46"/>
      <c r="P200" s="46"/>
      <c r="Q200" s="47"/>
      <c r="R200" s="47"/>
      <c r="S200" s="47"/>
      <c r="T200" s="48"/>
      <c r="U200" s="462"/>
      <c r="V200" s="462"/>
      <c r="W200" s="36"/>
      <c r="X200" s="49"/>
      <c r="Y200" s="50"/>
      <c r="Z200" s="50"/>
      <c r="AA200" s="50"/>
      <c r="AB200" s="51"/>
      <c r="AC200" s="52"/>
      <c r="AD200" s="465"/>
      <c r="AE200" s="53"/>
      <c r="AF200" s="54"/>
      <c r="AG200" s="55"/>
      <c r="AH200" s="468"/>
      <c r="AI200" s="468"/>
      <c r="AJ200" s="55"/>
      <c r="AK200" s="1"/>
      <c r="AL200" s="438"/>
      <c r="AM200" s="438"/>
      <c r="AN200" s="438"/>
      <c r="AO200" s="438"/>
      <c r="AP200" s="438"/>
      <c r="AQ200" s="438"/>
      <c r="AR200" s="438"/>
      <c r="AS200" s="438"/>
      <c r="AT200" s="29"/>
      <c r="AU200" s="30"/>
      <c r="AV200" s="30"/>
      <c r="AW200" s="30"/>
      <c r="AX200" s="30"/>
    </row>
    <row r="201" spans="1:50" ht="11.25" customHeight="1">
      <c r="A201" s="1"/>
      <c r="B201" s="442"/>
      <c r="C201" s="445"/>
      <c r="D201" s="448"/>
      <c r="E201" s="451"/>
      <c r="F201" s="454"/>
      <c r="G201" s="454"/>
      <c r="H201" s="471"/>
      <c r="I201" s="473"/>
      <c r="J201" s="473"/>
      <c r="K201" s="471"/>
      <c r="L201" s="44">
        <f t="shared" ref="L201" si="267">IF($I$3= "協力会社",0,IF(L200&gt;0,L200,0))</f>
        <v>0</v>
      </c>
      <c r="M201" s="56">
        <f t="shared" ref="M201" si="268">TIME(L201-MOD(L201,1),MOD(L201,1)*60,0)</f>
        <v>0</v>
      </c>
      <c r="N201" s="476"/>
      <c r="O201" s="46"/>
      <c r="P201" s="45">
        <f t="shared" ref="P201" si="269">SUMIF(AB195:AB204,"0.25深夜",AC195:AC204)</f>
        <v>0</v>
      </c>
      <c r="Q201" s="47"/>
      <c r="R201" s="47"/>
      <c r="S201" s="47"/>
      <c r="T201" s="48"/>
      <c r="U201" s="462"/>
      <c r="V201" s="462"/>
      <c r="W201" s="36"/>
      <c r="X201" s="49"/>
      <c r="Y201" s="50"/>
      <c r="Z201" s="50"/>
      <c r="AA201" s="50"/>
      <c r="AB201" s="51"/>
      <c r="AC201" s="52"/>
      <c r="AD201" s="465"/>
      <c r="AE201" s="53"/>
      <c r="AF201" s="54"/>
      <c r="AG201" s="55"/>
      <c r="AH201" s="468"/>
      <c r="AI201" s="468"/>
      <c r="AJ201" s="55"/>
      <c r="AK201" s="1"/>
      <c r="AL201" s="438"/>
      <c r="AM201" s="438"/>
      <c r="AN201" s="438"/>
      <c r="AO201" s="438"/>
      <c r="AP201" s="438"/>
      <c r="AQ201" s="438"/>
      <c r="AR201" s="438"/>
      <c r="AS201" s="438"/>
      <c r="AT201" s="29"/>
      <c r="AU201" s="30"/>
      <c r="AV201" s="30"/>
      <c r="AW201" s="30"/>
      <c r="AX201" s="30"/>
    </row>
    <row r="202" spans="1:50" ht="11.25" customHeight="1">
      <c r="A202" s="1"/>
      <c r="B202" s="442"/>
      <c r="C202" s="445"/>
      <c r="D202" s="448"/>
      <c r="E202" s="451"/>
      <c r="F202" s="454"/>
      <c r="G202" s="454"/>
      <c r="H202" s="471"/>
      <c r="I202" s="473"/>
      <c r="J202" s="473"/>
      <c r="K202" s="471"/>
      <c r="L202" s="44"/>
      <c r="M202" s="44"/>
      <c r="N202" s="476"/>
      <c r="O202" s="46"/>
      <c r="P202" s="46"/>
      <c r="Q202" s="47"/>
      <c r="R202" s="47"/>
      <c r="S202" s="47"/>
      <c r="T202" s="48"/>
      <c r="U202" s="462"/>
      <c r="V202" s="462"/>
      <c r="W202" s="36"/>
      <c r="X202" s="49"/>
      <c r="Y202" s="50"/>
      <c r="Z202" s="50"/>
      <c r="AA202" s="50"/>
      <c r="AB202" s="51"/>
      <c r="AC202" s="52"/>
      <c r="AD202" s="465"/>
      <c r="AE202" s="53"/>
      <c r="AF202" s="54"/>
      <c r="AG202" s="55"/>
      <c r="AH202" s="468"/>
      <c r="AI202" s="468"/>
      <c r="AJ202" s="55"/>
      <c r="AK202" s="1"/>
      <c r="AL202" s="438"/>
      <c r="AM202" s="438"/>
      <c r="AN202" s="438"/>
      <c r="AO202" s="438"/>
      <c r="AP202" s="438"/>
      <c r="AQ202" s="438"/>
      <c r="AR202" s="438"/>
      <c r="AS202" s="438"/>
      <c r="AT202" s="29"/>
      <c r="AU202" s="30"/>
      <c r="AV202" s="30"/>
      <c r="AW202" s="30"/>
      <c r="AX202" s="30"/>
    </row>
    <row r="203" spans="1:50" ht="11.25" customHeight="1">
      <c r="A203" s="1"/>
      <c r="B203" s="442"/>
      <c r="C203" s="445"/>
      <c r="D203" s="448"/>
      <c r="E203" s="451"/>
      <c r="F203" s="454"/>
      <c r="G203" s="454"/>
      <c r="H203" s="471"/>
      <c r="I203" s="473"/>
      <c r="J203" s="473"/>
      <c r="K203" s="471"/>
      <c r="L203" s="44"/>
      <c r="M203" s="44"/>
      <c r="N203" s="478"/>
      <c r="O203" s="57">
        <f t="shared" ref="O203" si="270">O195+O199</f>
        <v>0.33333333333333331</v>
      </c>
      <c r="P203" s="57">
        <f t="shared" ref="P203" si="271">SUM(P195:P199)</f>
        <v>0.33333333333333331</v>
      </c>
      <c r="Q203" s="47"/>
      <c r="R203" s="47"/>
      <c r="S203" s="47"/>
      <c r="T203" s="48"/>
      <c r="U203" s="462"/>
      <c r="V203" s="462"/>
      <c r="W203" s="36"/>
      <c r="X203" s="49"/>
      <c r="Y203" s="49"/>
      <c r="Z203" s="49"/>
      <c r="AA203" s="49"/>
      <c r="AB203" s="51"/>
      <c r="AC203" s="52"/>
      <c r="AD203" s="465"/>
      <c r="AE203" s="53"/>
      <c r="AF203" s="59"/>
      <c r="AG203" s="60"/>
      <c r="AH203" s="468"/>
      <c r="AI203" s="468"/>
      <c r="AJ203" s="55"/>
      <c r="AK203" s="1"/>
      <c r="AL203" s="438"/>
      <c r="AM203" s="438"/>
      <c r="AN203" s="438"/>
      <c r="AO203" s="438"/>
      <c r="AP203" s="438"/>
      <c r="AQ203" s="438"/>
      <c r="AR203" s="438"/>
      <c r="AS203" s="438"/>
      <c r="AT203" s="29"/>
      <c r="AU203" s="30"/>
      <c r="AV203" s="30"/>
      <c r="AW203" s="30"/>
      <c r="AX203" s="30"/>
    </row>
    <row r="204" spans="1:50" ht="11.25" customHeight="1">
      <c r="A204" s="1"/>
      <c r="B204" s="443"/>
      <c r="C204" s="446"/>
      <c r="D204" s="449"/>
      <c r="E204" s="452"/>
      <c r="F204" s="455"/>
      <c r="G204" s="455"/>
      <c r="H204" s="472"/>
      <c r="I204" s="474"/>
      <c r="J204" s="474"/>
      <c r="K204" s="472"/>
      <c r="L204" s="61"/>
      <c r="M204" s="61"/>
      <c r="N204" s="477"/>
      <c r="O204" s="62"/>
      <c r="P204" s="62"/>
      <c r="Q204" s="63"/>
      <c r="R204" s="63"/>
      <c r="S204" s="63"/>
      <c r="T204" s="64"/>
      <c r="U204" s="463"/>
      <c r="V204" s="463"/>
      <c r="W204" s="65"/>
      <c r="X204" s="66"/>
      <c r="Y204" s="67"/>
      <c r="Z204" s="67"/>
      <c r="AA204" s="67"/>
      <c r="AB204" s="68"/>
      <c r="AC204" s="69"/>
      <c r="AD204" s="466"/>
      <c r="AE204" s="70"/>
      <c r="AF204" s="71"/>
      <c r="AG204" s="72"/>
      <c r="AH204" s="469"/>
      <c r="AI204" s="469"/>
      <c r="AJ204" s="72"/>
      <c r="AK204" s="1"/>
      <c r="AL204" s="439"/>
      <c r="AM204" s="439"/>
      <c r="AN204" s="439"/>
      <c r="AO204" s="439"/>
      <c r="AP204" s="439"/>
      <c r="AQ204" s="439"/>
      <c r="AR204" s="439"/>
      <c r="AS204" s="439"/>
      <c r="AT204" s="29"/>
      <c r="AU204" s="30"/>
      <c r="AV204" s="30"/>
      <c r="AW204" s="30"/>
      <c r="AX204" s="30"/>
    </row>
    <row r="205" spans="1:50">
      <c r="A205" s="1"/>
      <c r="B205" s="441">
        <f>IF(B195="","",IF(B195+1&gt;$AB$3,"",B195+1))</f>
        <v>44671</v>
      </c>
      <c r="C205" s="444">
        <f>IF(C195="","",IF(C195+1&gt;$AB$3,"",C195+1))</f>
        <v>44671</v>
      </c>
      <c r="D205" s="447">
        <f>IF(C205="","",WEEKDAY(C205,1))</f>
        <v>4</v>
      </c>
      <c r="E205" s="450" t="str">
        <f>IF($D205="","",IF(NOT(ISERROR(MATCH($C205,祝日テーブル,0)=TRUE)),IF($D205=1,"法定","法定外"),IF($D205=1,"法定",IF($D205=7,"法定外",""))))</f>
        <v/>
      </c>
      <c r="F205" s="453">
        <v>900</v>
      </c>
      <c r="G205" s="453">
        <v>1745</v>
      </c>
      <c r="H205" s="470">
        <v>4.1666666666666664E-2</v>
      </c>
      <c r="I205" s="473"/>
      <c r="J205" s="473"/>
      <c r="K205" s="471"/>
      <c r="L205" s="32">
        <f t="shared" ref="L205" si="272">MOD(F205,100)+FLOOR(F205/100,1)*60</f>
        <v>540</v>
      </c>
      <c r="M205" s="32"/>
      <c r="N205" s="475"/>
      <c r="O205" s="33">
        <f t="shared" ref="O205" si="273">IF($I$3= "協力会社",M209,IF(L209&gt;=$L$12,$M$12,IF(L209&gt;0,M209,0)))</f>
        <v>0.32291666666666669</v>
      </c>
      <c r="P205" s="33">
        <f t="shared" ref="P205" si="274">SUMIF(AB205:AB214,"1.00",AC205:AC214)+SUMIF(AB205:AB214,"振休取得",AC205:AC214)</f>
        <v>0.32291666666666669</v>
      </c>
      <c r="Q205" s="34"/>
      <c r="R205" s="34"/>
      <c r="S205" s="34"/>
      <c r="T205" s="35"/>
      <c r="U205" s="462"/>
      <c r="V205" s="462"/>
      <c r="W205" s="36" t="s">
        <v>649</v>
      </c>
      <c r="X205" s="37" t="s">
        <v>608</v>
      </c>
      <c r="Y205" s="37"/>
      <c r="Z205" s="37" t="s">
        <v>650</v>
      </c>
      <c r="AA205" s="37"/>
      <c r="AB205" s="38" t="s">
        <v>121</v>
      </c>
      <c r="AC205" s="39">
        <v>0.32291666666666669</v>
      </c>
      <c r="AD205" s="464"/>
      <c r="AE205" s="40"/>
      <c r="AF205" s="41"/>
      <c r="AG205" s="42"/>
      <c r="AH205" s="467" t="s">
        <v>659</v>
      </c>
      <c r="AI205" s="467" t="s">
        <v>653</v>
      </c>
      <c r="AJ205" s="73"/>
      <c r="AK205" s="1"/>
      <c r="AL205" s="437"/>
      <c r="AM205" s="437"/>
      <c r="AN205" s="437"/>
      <c r="AO205" s="437"/>
      <c r="AP205" s="437"/>
      <c r="AQ205" s="437"/>
      <c r="AR205" s="437"/>
      <c r="AS205" s="437"/>
      <c r="AT205" s="29"/>
      <c r="AU205" s="30"/>
      <c r="AV205" s="30"/>
      <c r="AW205" s="30"/>
      <c r="AX205" s="30"/>
    </row>
    <row r="206" spans="1:50" ht="11.25" customHeight="1">
      <c r="A206" s="1"/>
      <c r="B206" s="442"/>
      <c r="C206" s="445"/>
      <c r="D206" s="448"/>
      <c r="E206" s="451"/>
      <c r="F206" s="454"/>
      <c r="G206" s="454"/>
      <c r="H206" s="471"/>
      <c r="I206" s="473"/>
      <c r="J206" s="473"/>
      <c r="K206" s="471"/>
      <c r="L206" s="44">
        <f t="shared" ref="L206" si="275">MOD(G205,100)+FLOOR(G205/100,1)*60</f>
        <v>1065</v>
      </c>
      <c r="M206" s="44"/>
      <c r="N206" s="476"/>
      <c r="O206" s="45"/>
      <c r="P206" s="46"/>
      <c r="Q206" s="47"/>
      <c r="R206" s="47"/>
      <c r="S206" s="47"/>
      <c r="T206" s="48"/>
      <c r="U206" s="462"/>
      <c r="V206" s="462"/>
      <c r="W206" s="36"/>
      <c r="X206" s="49"/>
      <c r="Y206" s="50"/>
      <c r="Z206" s="50"/>
      <c r="AA206" s="50"/>
      <c r="AB206" s="51"/>
      <c r="AC206" s="52"/>
      <c r="AD206" s="465"/>
      <c r="AE206" s="53"/>
      <c r="AF206" s="54"/>
      <c r="AG206" s="55"/>
      <c r="AH206" s="468"/>
      <c r="AI206" s="468"/>
      <c r="AJ206" s="55"/>
      <c r="AK206" s="1"/>
      <c r="AL206" s="438"/>
      <c r="AM206" s="438"/>
      <c r="AN206" s="438"/>
      <c r="AO206" s="438"/>
      <c r="AP206" s="438"/>
      <c r="AQ206" s="438"/>
      <c r="AR206" s="438"/>
      <c r="AS206" s="438"/>
      <c r="AT206" s="29"/>
      <c r="AU206" s="30"/>
      <c r="AV206" s="30"/>
      <c r="AW206" s="30"/>
      <c r="AX206" s="30"/>
    </row>
    <row r="207" spans="1:50" ht="11.25" customHeight="1">
      <c r="A207" s="1"/>
      <c r="B207" s="442"/>
      <c r="C207" s="445"/>
      <c r="D207" s="448"/>
      <c r="E207" s="451"/>
      <c r="F207" s="454"/>
      <c r="G207" s="454"/>
      <c r="H207" s="471"/>
      <c r="I207" s="473"/>
      <c r="J207" s="473"/>
      <c r="K207" s="471"/>
      <c r="L207" s="44">
        <f t="shared" ref="L207" si="276">L206-L205</f>
        <v>525</v>
      </c>
      <c r="M207" s="44"/>
      <c r="N207" s="476"/>
      <c r="O207" s="46"/>
      <c r="P207" s="45">
        <f t="shared" ref="P207" si="277">SUMIF(AB205:AB214,"有休",AC205:AC214)+SUMIF(AB205:AB214,"無給休",AC205:AC214)+SUMIF(AB205:AB214,"振休",AC205:AC214)+SUMIF(AB205:AB214,"特休",AC205:AC214)</f>
        <v>0</v>
      </c>
      <c r="Q207" s="47"/>
      <c r="R207" s="47"/>
      <c r="S207" s="47"/>
      <c r="T207" s="48"/>
      <c r="U207" s="462"/>
      <c r="V207" s="462"/>
      <c r="W207" s="36"/>
      <c r="X207" s="49"/>
      <c r="Y207" s="50"/>
      <c r="Z207" s="50"/>
      <c r="AA207" s="50"/>
      <c r="AB207" s="51"/>
      <c r="AC207" s="52"/>
      <c r="AD207" s="465"/>
      <c r="AE207" s="53"/>
      <c r="AF207" s="54"/>
      <c r="AG207" s="55"/>
      <c r="AH207" s="468"/>
      <c r="AI207" s="468"/>
      <c r="AJ207" s="54"/>
      <c r="AK207" s="1"/>
      <c r="AL207" s="438"/>
      <c r="AM207" s="438"/>
      <c r="AN207" s="438"/>
      <c r="AO207" s="438"/>
      <c r="AP207" s="438"/>
      <c r="AQ207" s="438"/>
      <c r="AR207" s="438"/>
      <c r="AS207" s="438"/>
      <c r="AT207" s="29"/>
      <c r="AU207" s="30"/>
      <c r="AV207" s="30"/>
      <c r="AW207" s="30"/>
      <c r="AX207" s="30"/>
    </row>
    <row r="208" spans="1:50" ht="11.25" customHeight="1">
      <c r="A208" s="1"/>
      <c r="B208" s="442"/>
      <c r="C208" s="445"/>
      <c r="D208" s="448"/>
      <c r="E208" s="451"/>
      <c r="F208" s="454"/>
      <c r="G208" s="454"/>
      <c r="H208" s="471"/>
      <c r="I208" s="473"/>
      <c r="J208" s="473"/>
      <c r="K208" s="471"/>
      <c r="L208" s="44">
        <f t="shared" ref="L208" si="278">ROUNDUP(L207/60,2)</f>
        <v>8.75</v>
      </c>
      <c r="M208" s="44"/>
      <c r="N208" s="476"/>
      <c r="O208" s="46"/>
      <c r="P208" s="46"/>
      <c r="Q208" s="47"/>
      <c r="R208" s="47"/>
      <c r="S208" s="47"/>
      <c r="T208" s="48"/>
      <c r="U208" s="462"/>
      <c r="V208" s="462"/>
      <c r="W208" s="36"/>
      <c r="X208" s="49"/>
      <c r="Y208" s="50"/>
      <c r="Z208" s="50"/>
      <c r="AA208" s="50"/>
      <c r="AB208" s="51"/>
      <c r="AC208" s="52"/>
      <c r="AD208" s="465"/>
      <c r="AE208" s="53"/>
      <c r="AF208" s="54"/>
      <c r="AG208" s="55"/>
      <c r="AH208" s="468"/>
      <c r="AI208" s="468"/>
      <c r="AJ208" s="55"/>
      <c r="AK208" s="1"/>
      <c r="AL208" s="438"/>
      <c r="AM208" s="438"/>
      <c r="AN208" s="438"/>
      <c r="AO208" s="438"/>
      <c r="AP208" s="438"/>
      <c r="AQ208" s="438"/>
      <c r="AR208" s="438"/>
      <c r="AS208" s="438"/>
      <c r="AT208" s="29"/>
      <c r="AU208" s="30"/>
      <c r="AV208" s="30"/>
      <c r="AW208" s="30"/>
      <c r="AX208" s="30"/>
    </row>
    <row r="209" spans="1:50" ht="11.25" customHeight="1">
      <c r="A209" s="1"/>
      <c r="B209" s="442"/>
      <c r="C209" s="445"/>
      <c r="D209" s="448"/>
      <c r="E209" s="451"/>
      <c r="F209" s="454"/>
      <c r="G209" s="454"/>
      <c r="H209" s="471"/>
      <c r="I209" s="473"/>
      <c r="J209" s="473"/>
      <c r="K209" s="471"/>
      <c r="L209" s="44">
        <f t="shared" ref="L209" si="279">IF(L208&gt;0,L208-HOUR(H205)-MINUTE(H205)/60,0)</f>
        <v>7.75</v>
      </c>
      <c r="M209" s="56">
        <f t="shared" ref="M209" si="280">TIME(L209-MOD(L209,1),MOD(L209,1)*60,0)</f>
        <v>0.32291666666666669</v>
      </c>
      <c r="N209" s="476"/>
      <c r="O209" s="45">
        <f t="shared" ref="O209" si="281">M211</f>
        <v>0</v>
      </c>
      <c r="P209" s="45">
        <f t="shared" ref="P209" si="282">SUMIF(AB205:AB214,"1.25",AC205:AC214)+SUMIF(AB205:AB214,"他時間外",AC205:AC214)+SUMIF(AB205:AB214,"1.35",AC205:AC214)</f>
        <v>0</v>
      </c>
      <c r="Q209" s="47"/>
      <c r="R209" s="47"/>
      <c r="S209" s="47"/>
      <c r="T209" s="48"/>
      <c r="U209" s="462"/>
      <c r="V209" s="462"/>
      <c r="W209" s="36"/>
      <c r="X209" s="49"/>
      <c r="Y209" s="50"/>
      <c r="Z209" s="50"/>
      <c r="AA209" s="50"/>
      <c r="AB209" s="51"/>
      <c r="AC209" s="52"/>
      <c r="AD209" s="465"/>
      <c r="AE209" s="53"/>
      <c r="AF209" s="54"/>
      <c r="AG209" s="55"/>
      <c r="AH209" s="468"/>
      <c r="AI209" s="468"/>
      <c r="AJ209" s="55"/>
      <c r="AK209" s="1"/>
      <c r="AL209" s="438"/>
      <c r="AM209" s="438"/>
      <c r="AN209" s="438"/>
      <c r="AO209" s="438"/>
      <c r="AP209" s="438"/>
      <c r="AQ209" s="438"/>
      <c r="AR209" s="438"/>
      <c r="AS209" s="438"/>
      <c r="AT209" s="29"/>
      <c r="AU209" s="30"/>
      <c r="AV209" s="30"/>
      <c r="AW209" s="30"/>
      <c r="AX209" s="30"/>
    </row>
    <row r="210" spans="1:50" ht="11.25" customHeight="1">
      <c r="A210" s="1"/>
      <c r="B210" s="442"/>
      <c r="C210" s="445"/>
      <c r="D210" s="448"/>
      <c r="E210" s="451"/>
      <c r="F210" s="454"/>
      <c r="G210" s="454"/>
      <c r="H210" s="471"/>
      <c r="I210" s="473"/>
      <c r="J210" s="473"/>
      <c r="K210" s="471"/>
      <c r="L210" s="44">
        <f t="shared" ref="L210" si="283">L209-$L$12</f>
        <v>0</v>
      </c>
      <c r="M210" s="44"/>
      <c r="N210" s="476"/>
      <c r="O210" s="46"/>
      <c r="P210" s="46"/>
      <c r="Q210" s="47"/>
      <c r="R210" s="47"/>
      <c r="S210" s="47"/>
      <c r="T210" s="48"/>
      <c r="U210" s="462"/>
      <c r="V210" s="462"/>
      <c r="W210" s="36"/>
      <c r="X210" s="49"/>
      <c r="Y210" s="50"/>
      <c r="Z210" s="50"/>
      <c r="AA210" s="50"/>
      <c r="AB210" s="51"/>
      <c r="AC210" s="52"/>
      <c r="AD210" s="465"/>
      <c r="AE210" s="53"/>
      <c r="AF210" s="54"/>
      <c r="AG210" s="55"/>
      <c r="AH210" s="468"/>
      <c r="AI210" s="468"/>
      <c r="AJ210" s="55"/>
      <c r="AK210" s="1"/>
      <c r="AL210" s="438"/>
      <c r="AM210" s="438"/>
      <c r="AN210" s="438"/>
      <c r="AO210" s="438"/>
      <c r="AP210" s="438"/>
      <c r="AQ210" s="438"/>
      <c r="AR210" s="438"/>
      <c r="AS210" s="438"/>
      <c r="AT210" s="29"/>
      <c r="AU210" s="30"/>
      <c r="AV210" s="30"/>
      <c r="AW210" s="30"/>
      <c r="AX210" s="30"/>
    </row>
    <row r="211" spans="1:50" ht="11.25" customHeight="1">
      <c r="A211" s="1"/>
      <c r="B211" s="442"/>
      <c r="C211" s="445"/>
      <c r="D211" s="448"/>
      <c r="E211" s="451"/>
      <c r="F211" s="454"/>
      <c r="G211" s="454"/>
      <c r="H211" s="471"/>
      <c r="I211" s="473"/>
      <c r="J211" s="473"/>
      <c r="K211" s="471"/>
      <c r="L211" s="44">
        <f t="shared" ref="L211" si="284">IF($I$3= "協力会社",0,IF(L210&gt;0,L210,0))</f>
        <v>0</v>
      </c>
      <c r="M211" s="56">
        <f t="shared" ref="M211" si="285">TIME(L211-MOD(L211,1),MOD(L211,1)*60,0)</f>
        <v>0</v>
      </c>
      <c r="N211" s="476"/>
      <c r="O211" s="46"/>
      <c r="P211" s="45">
        <f t="shared" ref="P211" si="286">SUMIF(AB205:AB214,"0.25深夜",AC205:AC214)</f>
        <v>0</v>
      </c>
      <c r="Q211" s="47"/>
      <c r="R211" s="47"/>
      <c r="S211" s="47"/>
      <c r="T211" s="48"/>
      <c r="U211" s="462"/>
      <c r="V211" s="462"/>
      <c r="W211" s="36"/>
      <c r="X211" s="49"/>
      <c r="Y211" s="50"/>
      <c r="Z211" s="50"/>
      <c r="AA211" s="50"/>
      <c r="AB211" s="51"/>
      <c r="AC211" s="52"/>
      <c r="AD211" s="465"/>
      <c r="AE211" s="53"/>
      <c r="AF211" s="54"/>
      <c r="AG211" s="55"/>
      <c r="AH211" s="468"/>
      <c r="AI211" s="468"/>
      <c r="AJ211" s="55"/>
      <c r="AK211" s="1"/>
      <c r="AL211" s="438"/>
      <c r="AM211" s="438"/>
      <c r="AN211" s="438"/>
      <c r="AO211" s="438"/>
      <c r="AP211" s="438"/>
      <c r="AQ211" s="438"/>
      <c r="AR211" s="438"/>
      <c r="AS211" s="438"/>
      <c r="AT211" s="29"/>
      <c r="AU211" s="30"/>
      <c r="AV211" s="30"/>
      <c r="AW211" s="30"/>
      <c r="AX211" s="30"/>
    </row>
    <row r="212" spans="1:50" ht="11.25" customHeight="1">
      <c r="A212" s="1"/>
      <c r="B212" s="442"/>
      <c r="C212" s="445"/>
      <c r="D212" s="448"/>
      <c r="E212" s="451"/>
      <c r="F212" s="454"/>
      <c r="G212" s="454"/>
      <c r="H212" s="471"/>
      <c r="I212" s="473"/>
      <c r="J212" s="473"/>
      <c r="K212" s="471"/>
      <c r="L212" s="44"/>
      <c r="M212" s="44"/>
      <c r="N212" s="476"/>
      <c r="O212" s="46"/>
      <c r="P212" s="46"/>
      <c r="Q212" s="47"/>
      <c r="R212" s="47"/>
      <c r="S212" s="47"/>
      <c r="T212" s="48"/>
      <c r="U212" s="462"/>
      <c r="V212" s="462"/>
      <c r="W212" s="36"/>
      <c r="X212" s="49"/>
      <c r="Y212" s="50"/>
      <c r="Z212" s="50"/>
      <c r="AA212" s="50"/>
      <c r="AB212" s="51"/>
      <c r="AC212" s="52"/>
      <c r="AD212" s="465"/>
      <c r="AE212" s="53"/>
      <c r="AF212" s="54"/>
      <c r="AG212" s="55"/>
      <c r="AH212" s="468"/>
      <c r="AI212" s="468"/>
      <c r="AJ212" s="55"/>
      <c r="AK212" s="1"/>
      <c r="AL212" s="438"/>
      <c r="AM212" s="438"/>
      <c r="AN212" s="438"/>
      <c r="AO212" s="438"/>
      <c r="AP212" s="438"/>
      <c r="AQ212" s="438"/>
      <c r="AR212" s="438"/>
      <c r="AS212" s="438"/>
      <c r="AT212" s="29"/>
      <c r="AU212" s="30"/>
      <c r="AV212" s="30"/>
      <c r="AW212" s="30"/>
      <c r="AX212" s="30"/>
    </row>
    <row r="213" spans="1:50" ht="11.25" customHeight="1">
      <c r="A213" s="1"/>
      <c r="B213" s="442"/>
      <c r="C213" s="445"/>
      <c r="D213" s="448"/>
      <c r="E213" s="451"/>
      <c r="F213" s="454"/>
      <c r="G213" s="454"/>
      <c r="H213" s="471"/>
      <c r="I213" s="473"/>
      <c r="J213" s="473"/>
      <c r="K213" s="471"/>
      <c r="L213" s="44"/>
      <c r="M213" s="44"/>
      <c r="N213" s="478"/>
      <c r="O213" s="57">
        <f t="shared" ref="O213" si="287">O205+O209</f>
        <v>0.32291666666666669</v>
      </c>
      <c r="P213" s="57">
        <f t="shared" ref="P213" si="288">SUM(P205:P209)</f>
        <v>0.32291666666666669</v>
      </c>
      <c r="Q213" s="47"/>
      <c r="R213" s="47"/>
      <c r="S213" s="47"/>
      <c r="T213" s="48"/>
      <c r="U213" s="462"/>
      <c r="V213" s="462"/>
      <c r="W213" s="36"/>
      <c r="X213" s="49"/>
      <c r="Y213" s="49"/>
      <c r="Z213" s="49"/>
      <c r="AA213" s="49"/>
      <c r="AB213" s="51"/>
      <c r="AC213" s="52"/>
      <c r="AD213" s="465"/>
      <c r="AE213" s="53"/>
      <c r="AF213" s="59"/>
      <c r="AG213" s="60"/>
      <c r="AH213" s="468"/>
      <c r="AI213" s="468"/>
      <c r="AJ213" s="55"/>
      <c r="AK213" s="1"/>
      <c r="AL213" s="438"/>
      <c r="AM213" s="438"/>
      <c r="AN213" s="438"/>
      <c r="AO213" s="438"/>
      <c r="AP213" s="438"/>
      <c r="AQ213" s="438"/>
      <c r="AR213" s="438"/>
      <c r="AS213" s="438"/>
      <c r="AT213" s="29"/>
      <c r="AU213" s="30"/>
      <c r="AV213" s="30"/>
      <c r="AW213" s="30"/>
      <c r="AX213" s="30"/>
    </row>
    <row r="214" spans="1:50" ht="11.25" customHeight="1">
      <c r="A214" s="1"/>
      <c r="B214" s="443"/>
      <c r="C214" s="446"/>
      <c r="D214" s="449"/>
      <c r="E214" s="452"/>
      <c r="F214" s="455"/>
      <c r="G214" s="455"/>
      <c r="H214" s="472"/>
      <c r="I214" s="474"/>
      <c r="J214" s="474"/>
      <c r="K214" s="472"/>
      <c r="L214" s="61"/>
      <c r="M214" s="61"/>
      <c r="N214" s="477"/>
      <c r="O214" s="62"/>
      <c r="P214" s="62"/>
      <c r="Q214" s="63"/>
      <c r="R214" s="63"/>
      <c r="S214" s="63"/>
      <c r="T214" s="64"/>
      <c r="U214" s="463"/>
      <c r="V214" s="463"/>
      <c r="W214" s="65"/>
      <c r="X214" s="66"/>
      <c r="Y214" s="67"/>
      <c r="Z214" s="67"/>
      <c r="AA214" s="67"/>
      <c r="AB214" s="68"/>
      <c r="AC214" s="69"/>
      <c r="AD214" s="466"/>
      <c r="AE214" s="70"/>
      <c r="AF214" s="71"/>
      <c r="AG214" s="72"/>
      <c r="AH214" s="469"/>
      <c r="AI214" s="469"/>
      <c r="AJ214" s="72"/>
      <c r="AK214" s="1"/>
      <c r="AL214" s="439"/>
      <c r="AM214" s="439"/>
      <c r="AN214" s="439"/>
      <c r="AO214" s="439"/>
      <c r="AP214" s="439"/>
      <c r="AQ214" s="439"/>
      <c r="AR214" s="439"/>
      <c r="AS214" s="439"/>
      <c r="AT214" s="29"/>
      <c r="AU214" s="30"/>
      <c r="AV214" s="30"/>
      <c r="AW214" s="30"/>
      <c r="AX214" s="30"/>
    </row>
    <row r="215" spans="1:50" ht="11.25" customHeight="1">
      <c r="A215" s="1"/>
      <c r="B215" s="441">
        <f>IF(B205="","",IF(B205+1&gt;$AB$3,"",B205+1))</f>
        <v>44672</v>
      </c>
      <c r="C215" s="444">
        <f>IF(C205="","",IF(C205+1&gt;$AB$3,"",C205+1))</f>
        <v>44672</v>
      </c>
      <c r="D215" s="447">
        <f>IF(C215="","",WEEKDAY(C215,1))</f>
        <v>5</v>
      </c>
      <c r="E215" s="450" t="str">
        <f>IF($D215="","",IF(NOT(ISERROR(MATCH($C215,祝日テーブル,0)=TRUE)),IF($D215=1,"法定","法定外"),IF($D215=1,"法定",IF($D215=7,"法定外",""))))</f>
        <v/>
      </c>
      <c r="F215" s="453">
        <v>800</v>
      </c>
      <c r="G215" s="453">
        <v>1700</v>
      </c>
      <c r="H215" s="470">
        <v>4.1666666666666664E-2</v>
      </c>
      <c r="I215" s="473"/>
      <c r="J215" s="473"/>
      <c r="K215" s="471"/>
      <c r="L215" s="32">
        <f t="shared" ref="L215" si="289">MOD(F215,100)+FLOOR(F215/100,1)*60</f>
        <v>480</v>
      </c>
      <c r="M215" s="32"/>
      <c r="N215" s="475"/>
      <c r="O215" s="33">
        <f t="shared" ref="O215" si="290">IF($I$3= "協力会社",M219,IF(L219&gt;=$L$12,$M$12,IF(L219&gt;0,M219,0)))</f>
        <v>0.33333333333333331</v>
      </c>
      <c r="P215" s="33">
        <f t="shared" ref="P215" si="291">SUMIF(AB215:AB224,"1.00",AC215:AC224)+SUMIF(AB215:AB224,"振休取得",AC215:AC224)</f>
        <v>0.33333333333333331</v>
      </c>
      <c r="Q215" s="34"/>
      <c r="R215" s="34"/>
      <c r="S215" s="34"/>
      <c r="T215" s="35"/>
      <c r="U215" s="462"/>
      <c r="V215" s="462"/>
      <c r="W215" s="36" t="s">
        <v>649</v>
      </c>
      <c r="X215" s="37" t="s">
        <v>608</v>
      </c>
      <c r="Y215" s="37"/>
      <c r="Z215" s="37" t="s">
        <v>650</v>
      </c>
      <c r="AA215" s="37"/>
      <c r="AB215" s="38" t="s">
        <v>121</v>
      </c>
      <c r="AC215" s="39">
        <v>0.33333333333333331</v>
      </c>
      <c r="AD215" s="464"/>
      <c r="AE215" s="40"/>
      <c r="AF215" s="41"/>
      <c r="AG215" s="42"/>
      <c r="AH215" s="467" t="s">
        <v>652</v>
      </c>
      <c r="AI215" s="467" t="s">
        <v>653</v>
      </c>
      <c r="AJ215" s="73"/>
      <c r="AK215" s="1"/>
      <c r="AL215" s="437"/>
      <c r="AM215" s="437"/>
      <c r="AN215" s="437"/>
      <c r="AO215" s="437"/>
      <c r="AP215" s="437"/>
      <c r="AQ215" s="437"/>
      <c r="AR215" s="437"/>
      <c r="AS215" s="437"/>
      <c r="AT215" s="29"/>
      <c r="AU215" s="30"/>
      <c r="AV215" s="30"/>
      <c r="AW215" s="30"/>
      <c r="AX215" s="30"/>
    </row>
    <row r="216" spans="1:50" ht="11.25" customHeight="1">
      <c r="A216" s="1"/>
      <c r="B216" s="442"/>
      <c r="C216" s="445"/>
      <c r="D216" s="448"/>
      <c r="E216" s="451"/>
      <c r="F216" s="454"/>
      <c r="G216" s="454"/>
      <c r="H216" s="471"/>
      <c r="I216" s="473"/>
      <c r="J216" s="473"/>
      <c r="K216" s="471"/>
      <c r="L216" s="44">
        <f t="shared" ref="L216" si="292">MOD(G215,100)+FLOOR(G215/100,1)*60</f>
        <v>1020</v>
      </c>
      <c r="M216" s="44"/>
      <c r="N216" s="476"/>
      <c r="O216" s="45"/>
      <c r="P216" s="46"/>
      <c r="Q216" s="47"/>
      <c r="R216" s="47"/>
      <c r="S216" s="47"/>
      <c r="T216" s="48"/>
      <c r="U216" s="462"/>
      <c r="V216" s="462"/>
      <c r="W216" s="36"/>
      <c r="X216" s="49"/>
      <c r="Y216" s="50"/>
      <c r="Z216" s="50"/>
      <c r="AA216" s="50"/>
      <c r="AB216" s="51"/>
      <c r="AC216" s="52"/>
      <c r="AD216" s="465"/>
      <c r="AE216" s="53"/>
      <c r="AF216" s="54"/>
      <c r="AG216" s="55"/>
      <c r="AH216" s="468"/>
      <c r="AI216" s="468"/>
      <c r="AJ216" s="55"/>
      <c r="AK216" s="1"/>
      <c r="AL216" s="438"/>
      <c r="AM216" s="438"/>
      <c r="AN216" s="438"/>
      <c r="AO216" s="438"/>
      <c r="AP216" s="438"/>
      <c r="AQ216" s="438"/>
      <c r="AR216" s="438"/>
      <c r="AS216" s="438"/>
      <c r="AT216" s="29"/>
      <c r="AU216" s="30"/>
      <c r="AV216" s="30"/>
      <c r="AW216" s="30"/>
      <c r="AX216" s="30"/>
    </row>
    <row r="217" spans="1:50" ht="11.25" customHeight="1">
      <c r="A217" s="1"/>
      <c r="B217" s="442"/>
      <c r="C217" s="445"/>
      <c r="D217" s="448"/>
      <c r="E217" s="451"/>
      <c r="F217" s="454"/>
      <c r="G217" s="454"/>
      <c r="H217" s="471"/>
      <c r="I217" s="473"/>
      <c r="J217" s="473"/>
      <c r="K217" s="471"/>
      <c r="L217" s="44">
        <f t="shared" ref="L217" si="293">L216-L215</f>
        <v>540</v>
      </c>
      <c r="M217" s="44"/>
      <c r="N217" s="476"/>
      <c r="O217" s="46"/>
      <c r="P217" s="45">
        <f t="shared" ref="P217" si="294">SUMIF(AB215:AB224,"有休",AC215:AC224)+SUMIF(AB215:AB224,"無給休",AC215:AC224)+SUMIF(AB215:AB224,"振休",AC215:AC224)+SUMIF(AB215:AB224,"特休",AC215:AC224)</f>
        <v>0</v>
      </c>
      <c r="Q217" s="47"/>
      <c r="R217" s="47"/>
      <c r="S217" s="47"/>
      <c r="T217" s="48"/>
      <c r="U217" s="462"/>
      <c r="V217" s="462"/>
      <c r="W217" s="36"/>
      <c r="X217" s="49"/>
      <c r="Y217" s="50"/>
      <c r="Z217" s="50"/>
      <c r="AA217" s="50"/>
      <c r="AB217" s="51"/>
      <c r="AC217" s="52"/>
      <c r="AD217" s="465"/>
      <c r="AE217" s="53"/>
      <c r="AF217" s="54"/>
      <c r="AG217" s="55"/>
      <c r="AH217" s="468"/>
      <c r="AI217" s="468"/>
      <c r="AJ217" s="54"/>
      <c r="AK217" s="1"/>
      <c r="AL217" s="438"/>
      <c r="AM217" s="438"/>
      <c r="AN217" s="438"/>
      <c r="AO217" s="438"/>
      <c r="AP217" s="438"/>
      <c r="AQ217" s="438"/>
      <c r="AR217" s="438"/>
      <c r="AS217" s="438"/>
      <c r="AT217" s="29"/>
      <c r="AU217" s="30"/>
      <c r="AV217" s="30"/>
      <c r="AW217" s="30"/>
      <c r="AX217" s="30"/>
    </row>
    <row r="218" spans="1:50" ht="11.25" customHeight="1">
      <c r="A218" s="1"/>
      <c r="B218" s="442"/>
      <c r="C218" s="445"/>
      <c r="D218" s="448"/>
      <c r="E218" s="451"/>
      <c r="F218" s="454"/>
      <c r="G218" s="454"/>
      <c r="H218" s="471"/>
      <c r="I218" s="473"/>
      <c r="J218" s="473"/>
      <c r="K218" s="471"/>
      <c r="L218" s="44">
        <f t="shared" ref="L218" si="295">ROUNDUP(L217/60,2)</f>
        <v>9</v>
      </c>
      <c r="M218" s="44"/>
      <c r="N218" s="476"/>
      <c r="O218" s="46"/>
      <c r="P218" s="46"/>
      <c r="Q218" s="47"/>
      <c r="R218" s="47"/>
      <c r="S218" s="47"/>
      <c r="T218" s="48"/>
      <c r="U218" s="462"/>
      <c r="V218" s="462"/>
      <c r="W218" s="36"/>
      <c r="X218" s="49"/>
      <c r="Y218" s="50"/>
      <c r="Z218" s="50"/>
      <c r="AA218" s="50"/>
      <c r="AB218" s="51"/>
      <c r="AC218" s="52"/>
      <c r="AD218" s="465"/>
      <c r="AE218" s="53"/>
      <c r="AF218" s="54"/>
      <c r="AG218" s="55"/>
      <c r="AH218" s="468"/>
      <c r="AI218" s="468"/>
      <c r="AJ218" s="55"/>
      <c r="AK218" s="1"/>
      <c r="AL218" s="438"/>
      <c r="AM218" s="438"/>
      <c r="AN218" s="438"/>
      <c r="AO218" s="438"/>
      <c r="AP218" s="438"/>
      <c r="AQ218" s="438"/>
      <c r="AR218" s="438"/>
      <c r="AS218" s="438"/>
      <c r="AT218" s="29"/>
      <c r="AU218" s="30"/>
      <c r="AV218" s="30"/>
      <c r="AW218" s="30"/>
      <c r="AX218" s="30"/>
    </row>
    <row r="219" spans="1:50" ht="11.25" customHeight="1">
      <c r="A219" s="1"/>
      <c r="B219" s="442"/>
      <c r="C219" s="445"/>
      <c r="D219" s="448"/>
      <c r="E219" s="451"/>
      <c r="F219" s="454"/>
      <c r="G219" s="454"/>
      <c r="H219" s="471"/>
      <c r="I219" s="473"/>
      <c r="J219" s="473"/>
      <c r="K219" s="471"/>
      <c r="L219" s="44">
        <f t="shared" ref="L219" si="296">IF(L218&gt;0,L218-HOUR(H215)-MINUTE(H215)/60,0)</f>
        <v>8</v>
      </c>
      <c r="M219" s="56">
        <f t="shared" ref="M219" si="297">TIME(L219-MOD(L219,1),MOD(L219,1)*60,0)</f>
        <v>0.33333333333333331</v>
      </c>
      <c r="N219" s="476"/>
      <c r="O219" s="45">
        <f t="shared" ref="O219" si="298">M221</f>
        <v>0</v>
      </c>
      <c r="P219" s="45">
        <f t="shared" ref="P219" si="299">SUMIF(AB215:AB224,"1.25",AC215:AC224)+SUMIF(AB215:AB224,"他時間外",AC215:AC224)+SUMIF(AB215:AB224,"1.35",AC215:AC224)</f>
        <v>0</v>
      </c>
      <c r="Q219" s="47"/>
      <c r="R219" s="47"/>
      <c r="S219" s="47"/>
      <c r="T219" s="48"/>
      <c r="U219" s="462"/>
      <c r="V219" s="462"/>
      <c r="W219" s="36"/>
      <c r="X219" s="49"/>
      <c r="Y219" s="50"/>
      <c r="Z219" s="50"/>
      <c r="AA219" s="50"/>
      <c r="AB219" s="51"/>
      <c r="AC219" s="52"/>
      <c r="AD219" s="465"/>
      <c r="AE219" s="53"/>
      <c r="AF219" s="54"/>
      <c r="AG219" s="55"/>
      <c r="AH219" s="468"/>
      <c r="AI219" s="468"/>
      <c r="AJ219" s="55"/>
      <c r="AK219" s="1"/>
      <c r="AL219" s="438"/>
      <c r="AM219" s="438"/>
      <c r="AN219" s="438"/>
      <c r="AO219" s="438"/>
      <c r="AP219" s="438"/>
      <c r="AQ219" s="438"/>
      <c r="AR219" s="438"/>
      <c r="AS219" s="438"/>
      <c r="AT219" s="29"/>
      <c r="AU219" s="30"/>
      <c r="AV219" s="30"/>
      <c r="AW219" s="30"/>
      <c r="AX219" s="30"/>
    </row>
    <row r="220" spans="1:50" ht="11.25" customHeight="1">
      <c r="A220" s="1"/>
      <c r="B220" s="442"/>
      <c r="C220" s="445"/>
      <c r="D220" s="448"/>
      <c r="E220" s="451"/>
      <c r="F220" s="454"/>
      <c r="G220" s="454"/>
      <c r="H220" s="471"/>
      <c r="I220" s="473"/>
      <c r="J220" s="473"/>
      <c r="K220" s="471"/>
      <c r="L220" s="44">
        <f t="shared" ref="L220" si="300">L219-$L$12</f>
        <v>0.25</v>
      </c>
      <c r="M220" s="44"/>
      <c r="N220" s="476"/>
      <c r="O220" s="46"/>
      <c r="P220" s="46"/>
      <c r="Q220" s="47"/>
      <c r="R220" s="47"/>
      <c r="S220" s="47"/>
      <c r="T220" s="48"/>
      <c r="U220" s="462"/>
      <c r="V220" s="462"/>
      <c r="W220" s="36"/>
      <c r="X220" s="49"/>
      <c r="Y220" s="50"/>
      <c r="Z220" s="50"/>
      <c r="AA220" s="50"/>
      <c r="AB220" s="51"/>
      <c r="AC220" s="52"/>
      <c r="AD220" s="465"/>
      <c r="AE220" s="53"/>
      <c r="AF220" s="54"/>
      <c r="AG220" s="55"/>
      <c r="AH220" s="468"/>
      <c r="AI220" s="468"/>
      <c r="AJ220" s="55"/>
      <c r="AK220" s="1"/>
      <c r="AL220" s="438"/>
      <c r="AM220" s="438"/>
      <c r="AN220" s="438"/>
      <c r="AO220" s="438"/>
      <c r="AP220" s="438"/>
      <c r="AQ220" s="438"/>
      <c r="AR220" s="438"/>
      <c r="AS220" s="438"/>
      <c r="AT220" s="29"/>
      <c r="AU220" s="30"/>
      <c r="AV220" s="30"/>
      <c r="AW220" s="30"/>
      <c r="AX220" s="30"/>
    </row>
    <row r="221" spans="1:50" ht="11.25" customHeight="1">
      <c r="A221" s="1"/>
      <c r="B221" s="442"/>
      <c r="C221" s="445"/>
      <c r="D221" s="448"/>
      <c r="E221" s="451"/>
      <c r="F221" s="454"/>
      <c r="G221" s="454"/>
      <c r="H221" s="471"/>
      <c r="I221" s="473"/>
      <c r="J221" s="473"/>
      <c r="K221" s="471"/>
      <c r="L221" s="44">
        <f t="shared" ref="L221" si="301">IF($I$3= "協力会社",0,IF(L220&gt;0,L220,0))</f>
        <v>0</v>
      </c>
      <c r="M221" s="56">
        <f t="shared" ref="M221" si="302">TIME(L221-MOD(L221,1),MOD(L221,1)*60,0)</f>
        <v>0</v>
      </c>
      <c r="N221" s="476"/>
      <c r="O221" s="46"/>
      <c r="P221" s="45">
        <f t="shared" ref="P221" si="303">SUMIF(AB215:AB224,"0.25深夜",AC215:AC224)</f>
        <v>0</v>
      </c>
      <c r="Q221" s="47"/>
      <c r="R221" s="47"/>
      <c r="S221" s="47"/>
      <c r="T221" s="48"/>
      <c r="U221" s="462"/>
      <c r="V221" s="462"/>
      <c r="W221" s="36"/>
      <c r="X221" s="49"/>
      <c r="Y221" s="50"/>
      <c r="Z221" s="50"/>
      <c r="AA221" s="50"/>
      <c r="AB221" s="51"/>
      <c r="AC221" s="52"/>
      <c r="AD221" s="465"/>
      <c r="AE221" s="53"/>
      <c r="AF221" s="54"/>
      <c r="AG221" s="55"/>
      <c r="AH221" s="468"/>
      <c r="AI221" s="468"/>
      <c r="AJ221" s="55"/>
      <c r="AK221" s="1"/>
      <c r="AL221" s="438"/>
      <c r="AM221" s="438"/>
      <c r="AN221" s="438"/>
      <c r="AO221" s="438"/>
      <c r="AP221" s="438"/>
      <c r="AQ221" s="438"/>
      <c r="AR221" s="438"/>
      <c r="AS221" s="438"/>
      <c r="AT221" s="29"/>
      <c r="AU221" s="30"/>
      <c r="AV221" s="30"/>
      <c r="AW221" s="30"/>
      <c r="AX221" s="30"/>
    </row>
    <row r="222" spans="1:50" ht="11.25" customHeight="1">
      <c r="A222" s="1"/>
      <c r="B222" s="442"/>
      <c r="C222" s="445"/>
      <c r="D222" s="448"/>
      <c r="E222" s="451"/>
      <c r="F222" s="454"/>
      <c r="G222" s="454"/>
      <c r="H222" s="471"/>
      <c r="I222" s="473"/>
      <c r="J222" s="473"/>
      <c r="K222" s="471"/>
      <c r="L222" s="44"/>
      <c r="M222" s="44"/>
      <c r="N222" s="476"/>
      <c r="O222" s="46"/>
      <c r="P222" s="46"/>
      <c r="Q222" s="47"/>
      <c r="R222" s="47"/>
      <c r="S222" s="47"/>
      <c r="T222" s="48"/>
      <c r="U222" s="462"/>
      <c r="V222" s="462"/>
      <c r="W222" s="36"/>
      <c r="X222" s="49"/>
      <c r="Y222" s="50"/>
      <c r="Z222" s="50"/>
      <c r="AA222" s="50"/>
      <c r="AB222" s="51"/>
      <c r="AC222" s="52"/>
      <c r="AD222" s="465"/>
      <c r="AE222" s="53"/>
      <c r="AF222" s="54"/>
      <c r="AG222" s="55"/>
      <c r="AH222" s="468"/>
      <c r="AI222" s="468"/>
      <c r="AJ222" s="55"/>
      <c r="AK222" s="1"/>
      <c r="AL222" s="438"/>
      <c r="AM222" s="438"/>
      <c r="AN222" s="438"/>
      <c r="AO222" s="438"/>
      <c r="AP222" s="438"/>
      <c r="AQ222" s="438"/>
      <c r="AR222" s="438"/>
      <c r="AS222" s="438"/>
      <c r="AT222" s="29"/>
      <c r="AU222" s="30"/>
      <c r="AV222" s="30"/>
      <c r="AW222" s="30"/>
      <c r="AX222" s="30"/>
    </row>
    <row r="223" spans="1:50" ht="11.25" customHeight="1">
      <c r="A223" s="1"/>
      <c r="B223" s="442"/>
      <c r="C223" s="445"/>
      <c r="D223" s="448"/>
      <c r="E223" s="451"/>
      <c r="F223" s="454"/>
      <c r="G223" s="454"/>
      <c r="H223" s="471"/>
      <c r="I223" s="473"/>
      <c r="J223" s="473"/>
      <c r="K223" s="471"/>
      <c r="L223" s="44"/>
      <c r="M223" s="44"/>
      <c r="N223" s="478"/>
      <c r="O223" s="57">
        <f t="shared" ref="O223" si="304">O215+O219</f>
        <v>0.33333333333333331</v>
      </c>
      <c r="P223" s="57">
        <f t="shared" ref="P223" si="305">SUM(P215:P219)</f>
        <v>0.33333333333333331</v>
      </c>
      <c r="Q223" s="47"/>
      <c r="R223" s="47"/>
      <c r="S223" s="47"/>
      <c r="T223" s="48"/>
      <c r="U223" s="462"/>
      <c r="V223" s="462"/>
      <c r="W223" s="36"/>
      <c r="X223" s="49"/>
      <c r="Y223" s="49"/>
      <c r="Z223" s="49"/>
      <c r="AA223" s="49"/>
      <c r="AB223" s="51"/>
      <c r="AC223" s="52"/>
      <c r="AD223" s="465"/>
      <c r="AE223" s="53"/>
      <c r="AF223" s="59"/>
      <c r="AG223" s="60"/>
      <c r="AH223" s="468"/>
      <c r="AI223" s="468"/>
      <c r="AJ223" s="55"/>
      <c r="AK223" s="1"/>
      <c r="AL223" s="438"/>
      <c r="AM223" s="438"/>
      <c r="AN223" s="438"/>
      <c r="AO223" s="438"/>
      <c r="AP223" s="438"/>
      <c r="AQ223" s="438"/>
      <c r="AR223" s="438"/>
      <c r="AS223" s="438"/>
      <c r="AT223" s="29"/>
      <c r="AU223" s="30"/>
      <c r="AV223" s="30"/>
      <c r="AW223" s="30"/>
      <c r="AX223" s="30"/>
    </row>
    <row r="224" spans="1:50" ht="11.25" customHeight="1">
      <c r="A224" s="1"/>
      <c r="B224" s="443"/>
      <c r="C224" s="446"/>
      <c r="D224" s="449"/>
      <c r="E224" s="452"/>
      <c r="F224" s="455"/>
      <c r="G224" s="455"/>
      <c r="H224" s="472"/>
      <c r="I224" s="474"/>
      <c r="J224" s="474"/>
      <c r="K224" s="472"/>
      <c r="L224" s="61"/>
      <c r="M224" s="61"/>
      <c r="N224" s="477"/>
      <c r="O224" s="62"/>
      <c r="P224" s="62"/>
      <c r="Q224" s="63"/>
      <c r="R224" s="63"/>
      <c r="S224" s="63"/>
      <c r="T224" s="64"/>
      <c r="U224" s="463"/>
      <c r="V224" s="463"/>
      <c r="W224" s="65"/>
      <c r="X224" s="66"/>
      <c r="Y224" s="67"/>
      <c r="Z224" s="67"/>
      <c r="AA224" s="67"/>
      <c r="AB224" s="68"/>
      <c r="AC224" s="69"/>
      <c r="AD224" s="466"/>
      <c r="AE224" s="70"/>
      <c r="AF224" s="71"/>
      <c r="AG224" s="72"/>
      <c r="AH224" s="469"/>
      <c r="AI224" s="469"/>
      <c r="AJ224" s="72"/>
      <c r="AK224" s="1"/>
      <c r="AL224" s="439"/>
      <c r="AM224" s="439"/>
      <c r="AN224" s="439"/>
      <c r="AO224" s="439"/>
      <c r="AP224" s="439"/>
      <c r="AQ224" s="439"/>
      <c r="AR224" s="439"/>
      <c r="AS224" s="439"/>
      <c r="AT224" s="29"/>
      <c r="AU224" s="30"/>
      <c r="AV224" s="30"/>
      <c r="AW224" s="30"/>
      <c r="AX224" s="30"/>
    </row>
    <row r="225" spans="1:50">
      <c r="A225" s="1"/>
      <c r="B225" s="441">
        <f>IF(B215="","",IF(B215+1&gt;$AB$3,"",B215+1))</f>
        <v>44673</v>
      </c>
      <c r="C225" s="444">
        <f>IF(C215="","",IF(C215+1&gt;$AB$3,"",C215+1))</f>
        <v>44673</v>
      </c>
      <c r="D225" s="447">
        <f>IF(C225="","",WEEKDAY(C225,1))</f>
        <v>6</v>
      </c>
      <c r="E225" s="450" t="str">
        <f>IF($D225="","",IF(NOT(ISERROR(MATCH($C225,祝日テーブル,0)=TRUE)),IF($D225=1,"法定","法定外"),IF($D225=1,"法定",IF($D225=7,"法定外",""))))</f>
        <v/>
      </c>
      <c r="F225" s="453">
        <v>900</v>
      </c>
      <c r="G225" s="453">
        <v>1745</v>
      </c>
      <c r="H225" s="470">
        <v>4.1666666666666664E-2</v>
      </c>
      <c r="I225" s="473"/>
      <c r="J225" s="473"/>
      <c r="K225" s="471"/>
      <c r="L225" s="32">
        <f t="shared" ref="L225" si="306">MOD(F225,100)+FLOOR(F225/100,1)*60</f>
        <v>540</v>
      </c>
      <c r="M225" s="32"/>
      <c r="N225" s="475"/>
      <c r="O225" s="33">
        <f t="shared" ref="O225" si="307">IF($I$3= "協力会社",M229,IF(L229&gt;=$L$12,$M$12,IF(L229&gt;0,M229,0)))</f>
        <v>0.32291666666666669</v>
      </c>
      <c r="P225" s="33">
        <f t="shared" ref="P225" si="308">SUMIF(AB225:AB234,"1.00",AC225:AC234)+SUMIF(AB225:AB234,"振休取得",AC225:AC234)</f>
        <v>0.32291666666666669</v>
      </c>
      <c r="Q225" s="34"/>
      <c r="R225" s="34"/>
      <c r="S225" s="34"/>
      <c r="T225" s="35"/>
      <c r="U225" s="462"/>
      <c r="V225" s="462"/>
      <c r="W225" s="36" t="s">
        <v>649</v>
      </c>
      <c r="X225" s="37" t="s">
        <v>608</v>
      </c>
      <c r="Y225" s="37"/>
      <c r="Z225" s="37" t="s">
        <v>650</v>
      </c>
      <c r="AA225" s="37"/>
      <c r="AB225" s="38" t="s">
        <v>121</v>
      </c>
      <c r="AC225" s="39">
        <v>0.32291666666666669</v>
      </c>
      <c r="AD225" s="464"/>
      <c r="AE225" s="40"/>
      <c r="AF225" s="41"/>
      <c r="AG225" s="42"/>
      <c r="AH225" s="467" t="s">
        <v>652</v>
      </c>
      <c r="AI225" s="467" t="s">
        <v>653</v>
      </c>
      <c r="AJ225" s="73"/>
      <c r="AK225" s="1"/>
      <c r="AL225" s="437"/>
      <c r="AM225" s="437"/>
      <c r="AN225" s="437"/>
      <c r="AO225" s="437"/>
      <c r="AP225" s="437"/>
      <c r="AQ225" s="437"/>
      <c r="AR225" s="437"/>
      <c r="AS225" s="437"/>
      <c r="AT225" s="29"/>
      <c r="AU225" s="30"/>
      <c r="AV225" s="30"/>
      <c r="AW225" s="30"/>
      <c r="AX225" s="30"/>
    </row>
    <row r="226" spans="1:50" ht="11.25" customHeight="1">
      <c r="A226" s="1"/>
      <c r="B226" s="442"/>
      <c r="C226" s="445"/>
      <c r="D226" s="448"/>
      <c r="E226" s="451"/>
      <c r="F226" s="454"/>
      <c r="G226" s="454"/>
      <c r="H226" s="471"/>
      <c r="I226" s="473"/>
      <c r="J226" s="473"/>
      <c r="K226" s="471"/>
      <c r="L226" s="44">
        <f t="shared" ref="L226" si="309">MOD(G225,100)+FLOOR(G225/100,1)*60</f>
        <v>1065</v>
      </c>
      <c r="M226" s="44"/>
      <c r="N226" s="476"/>
      <c r="O226" s="45"/>
      <c r="P226" s="46"/>
      <c r="Q226" s="47"/>
      <c r="R226" s="47"/>
      <c r="S226" s="47"/>
      <c r="T226" s="48"/>
      <c r="U226" s="462"/>
      <c r="V226" s="462"/>
      <c r="W226" s="36"/>
      <c r="X226" s="49"/>
      <c r="Y226" s="50"/>
      <c r="Z226" s="50"/>
      <c r="AA226" s="50"/>
      <c r="AB226" s="51"/>
      <c r="AC226" s="52"/>
      <c r="AD226" s="465"/>
      <c r="AE226" s="53"/>
      <c r="AF226" s="54"/>
      <c r="AG226" s="55"/>
      <c r="AH226" s="468"/>
      <c r="AI226" s="468"/>
      <c r="AJ226" s="55"/>
      <c r="AK226" s="1"/>
      <c r="AL226" s="438"/>
      <c r="AM226" s="438"/>
      <c r="AN226" s="438"/>
      <c r="AO226" s="438"/>
      <c r="AP226" s="438"/>
      <c r="AQ226" s="438"/>
      <c r="AR226" s="438"/>
      <c r="AS226" s="438"/>
      <c r="AT226" s="29"/>
      <c r="AU226" s="30"/>
      <c r="AV226" s="30"/>
      <c r="AW226" s="30"/>
      <c r="AX226" s="30"/>
    </row>
    <row r="227" spans="1:50" ht="11.25" customHeight="1">
      <c r="A227" s="1"/>
      <c r="B227" s="442"/>
      <c r="C227" s="445"/>
      <c r="D227" s="448"/>
      <c r="E227" s="451"/>
      <c r="F227" s="454"/>
      <c r="G227" s="454"/>
      <c r="H227" s="471"/>
      <c r="I227" s="473"/>
      <c r="J227" s="473"/>
      <c r="K227" s="471"/>
      <c r="L227" s="44">
        <f t="shared" ref="L227" si="310">L226-L225</f>
        <v>525</v>
      </c>
      <c r="M227" s="44"/>
      <c r="N227" s="476"/>
      <c r="O227" s="46"/>
      <c r="P227" s="45">
        <f t="shared" ref="P227" si="311">SUMIF(AB225:AB234,"有休",AC225:AC234)+SUMIF(AB225:AB234,"無給休",AC225:AC234)+SUMIF(AB225:AB234,"振休",AC225:AC234)+SUMIF(AB225:AB234,"特休",AC225:AC234)</f>
        <v>0</v>
      </c>
      <c r="Q227" s="47"/>
      <c r="R227" s="47"/>
      <c r="S227" s="47"/>
      <c r="T227" s="48"/>
      <c r="U227" s="462"/>
      <c r="V227" s="462"/>
      <c r="W227" s="36"/>
      <c r="X227" s="49"/>
      <c r="Y227" s="50"/>
      <c r="Z227" s="50"/>
      <c r="AA227" s="50"/>
      <c r="AB227" s="51"/>
      <c r="AC227" s="52"/>
      <c r="AD227" s="465"/>
      <c r="AE227" s="53"/>
      <c r="AF227" s="54"/>
      <c r="AG227" s="55"/>
      <c r="AH227" s="468"/>
      <c r="AI227" s="468"/>
      <c r="AJ227" s="54"/>
      <c r="AK227" s="1"/>
      <c r="AL227" s="438"/>
      <c r="AM227" s="438"/>
      <c r="AN227" s="438"/>
      <c r="AO227" s="438"/>
      <c r="AP227" s="438"/>
      <c r="AQ227" s="438"/>
      <c r="AR227" s="438"/>
      <c r="AS227" s="438"/>
      <c r="AT227" s="29"/>
      <c r="AU227" s="30"/>
      <c r="AV227" s="30"/>
      <c r="AW227" s="30"/>
      <c r="AX227" s="30"/>
    </row>
    <row r="228" spans="1:50" ht="11.25" customHeight="1">
      <c r="A228" s="1"/>
      <c r="B228" s="442"/>
      <c r="C228" s="445"/>
      <c r="D228" s="448"/>
      <c r="E228" s="451"/>
      <c r="F228" s="454"/>
      <c r="G228" s="454"/>
      <c r="H228" s="471"/>
      <c r="I228" s="473"/>
      <c r="J228" s="473"/>
      <c r="K228" s="471"/>
      <c r="L228" s="44">
        <f t="shared" ref="L228" si="312">ROUNDUP(L227/60,2)</f>
        <v>8.75</v>
      </c>
      <c r="M228" s="44"/>
      <c r="N228" s="476"/>
      <c r="O228" s="46"/>
      <c r="P228" s="46"/>
      <c r="Q228" s="47"/>
      <c r="R228" s="47"/>
      <c r="S228" s="47"/>
      <c r="T228" s="48"/>
      <c r="U228" s="462"/>
      <c r="V228" s="462"/>
      <c r="W228" s="36"/>
      <c r="X228" s="49"/>
      <c r="Y228" s="50"/>
      <c r="Z228" s="50"/>
      <c r="AA228" s="50"/>
      <c r="AB228" s="51"/>
      <c r="AC228" s="52"/>
      <c r="AD228" s="465"/>
      <c r="AE228" s="53"/>
      <c r="AF228" s="54"/>
      <c r="AG228" s="55"/>
      <c r="AH228" s="468"/>
      <c r="AI228" s="468"/>
      <c r="AJ228" s="55"/>
      <c r="AK228" s="1"/>
      <c r="AL228" s="438"/>
      <c r="AM228" s="438"/>
      <c r="AN228" s="438"/>
      <c r="AO228" s="438"/>
      <c r="AP228" s="438"/>
      <c r="AQ228" s="438"/>
      <c r="AR228" s="438"/>
      <c r="AS228" s="438"/>
      <c r="AT228" s="29"/>
      <c r="AU228" s="30"/>
      <c r="AV228" s="30"/>
      <c r="AW228" s="30"/>
      <c r="AX228" s="30"/>
    </row>
    <row r="229" spans="1:50" ht="11.25" customHeight="1">
      <c r="A229" s="1"/>
      <c r="B229" s="442"/>
      <c r="C229" s="445"/>
      <c r="D229" s="448"/>
      <c r="E229" s="451"/>
      <c r="F229" s="454"/>
      <c r="G229" s="454"/>
      <c r="H229" s="471"/>
      <c r="I229" s="473"/>
      <c r="J229" s="473"/>
      <c r="K229" s="471"/>
      <c r="L229" s="44">
        <f t="shared" ref="L229" si="313">IF(L228&gt;0,L228-HOUR(H225)-MINUTE(H225)/60,0)</f>
        <v>7.75</v>
      </c>
      <c r="M229" s="56">
        <f t="shared" ref="M229" si="314">TIME(L229-MOD(L229,1),MOD(L229,1)*60,0)</f>
        <v>0.32291666666666669</v>
      </c>
      <c r="N229" s="476"/>
      <c r="O229" s="45">
        <f t="shared" ref="O229" si="315">M231</f>
        <v>0</v>
      </c>
      <c r="P229" s="45">
        <f t="shared" ref="P229" si="316">SUMIF(AB225:AB234,"1.25",AC225:AC234)+SUMIF(AB225:AB234,"他時間外",AC225:AC234)+SUMIF(AB225:AB234,"1.35",AC225:AC234)</f>
        <v>0</v>
      </c>
      <c r="Q229" s="47"/>
      <c r="R229" s="47"/>
      <c r="S229" s="47"/>
      <c r="T229" s="48"/>
      <c r="U229" s="462"/>
      <c r="V229" s="462"/>
      <c r="W229" s="36"/>
      <c r="X229" s="49"/>
      <c r="Y229" s="50"/>
      <c r="Z229" s="50"/>
      <c r="AA229" s="50"/>
      <c r="AB229" s="51"/>
      <c r="AC229" s="52"/>
      <c r="AD229" s="465"/>
      <c r="AE229" s="53"/>
      <c r="AF229" s="54"/>
      <c r="AG229" s="55"/>
      <c r="AH229" s="468"/>
      <c r="AI229" s="468"/>
      <c r="AJ229" s="55"/>
      <c r="AK229" s="1"/>
      <c r="AL229" s="438"/>
      <c r="AM229" s="438"/>
      <c r="AN229" s="438"/>
      <c r="AO229" s="438"/>
      <c r="AP229" s="438"/>
      <c r="AQ229" s="438"/>
      <c r="AR229" s="438"/>
      <c r="AS229" s="438"/>
      <c r="AT229" s="29"/>
      <c r="AU229" s="30"/>
      <c r="AV229" s="30"/>
      <c r="AW229" s="30"/>
      <c r="AX229" s="30"/>
    </row>
    <row r="230" spans="1:50" ht="11.25" customHeight="1">
      <c r="A230" s="1"/>
      <c r="B230" s="442"/>
      <c r="C230" s="445"/>
      <c r="D230" s="448"/>
      <c r="E230" s="451"/>
      <c r="F230" s="454"/>
      <c r="G230" s="454"/>
      <c r="H230" s="471"/>
      <c r="I230" s="473"/>
      <c r="J230" s="473"/>
      <c r="K230" s="471"/>
      <c r="L230" s="44">
        <f t="shared" ref="L230" si="317">L229-$L$12</f>
        <v>0</v>
      </c>
      <c r="M230" s="44"/>
      <c r="N230" s="476"/>
      <c r="O230" s="46"/>
      <c r="P230" s="46"/>
      <c r="Q230" s="47"/>
      <c r="R230" s="47"/>
      <c r="S230" s="47"/>
      <c r="T230" s="48"/>
      <c r="U230" s="462"/>
      <c r="V230" s="462"/>
      <c r="W230" s="36"/>
      <c r="X230" s="49"/>
      <c r="Y230" s="50"/>
      <c r="Z230" s="50"/>
      <c r="AA230" s="50"/>
      <c r="AB230" s="51"/>
      <c r="AC230" s="52"/>
      <c r="AD230" s="465"/>
      <c r="AE230" s="53"/>
      <c r="AF230" s="54"/>
      <c r="AG230" s="55"/>
      <c r="AH230" s="468"/>
      <c r="AI230" s="468"/>
      <c r="AJ230" s="55"/>
      <c r="AK230" s="1"/>
      <c r="AL230" s="438"/>
      <c r="AM230" s="438"/>
      <c r="AN230" s="438"/>
      <c r="AO230" s="438"/>
      <c r="AP230" s="438"/>
      <c r="AQ230" s="438"/>
      <c r="AR230" s="438"/>
      <c r="AS230" s="438"/>
      <c r="AT230" s="29"/>
      <c r="AU230" s="30"/>
      <c r="AV230" s="30"/>
      <c r="AW230" s="30"/>
      <c r="AX230" s="30"/>
    </row>
    <row r="231" spans="1:50" ht="11.25" customHeight="1">
      <c r="A231" s="1"/>
      <c r="B231" s="442"/>
      <c r="C231" s="445"/>
      <c r="D231" s="448"/>
      <c r="E231" s="451"/>
      <c r="F231" s="454"/>
      <c r="G231" s="454"/>
      <c r="H231" s="471"/>
      <c r="I231" s="473"/>
      <c r="J231" s="473"/>
      <c r="K231" s="471"/>
      <c r="L231" s="44">
        <f t="shared" ref="L231" si="318">IF($I$3= "協力会社",0,IF(L230&gt;0,L230,0))</f>
        <v>0</v>
      </c>
      <c r="M231" s="56">
        <f t="shared" ref="M231" si="319">TIME(L231-MOD(L231,1),MOD(L231,1)*60,0)</f>
        <v>0</v>
      </c>
      <c r="N231" s="476"/>
      <c r="O231" s="46"/>
      <c r="P231" s="45">
        <f t="shared" ref="P231" si="320">SUMIF(AB225:AB234,"0.25深夜",AC225:AC234)</f>
        <v>0</v>
      </c>
      <c r="Q231" s="47"/>
      <c r="R231" s="47"/>
      <c r="S231" s="47"/>
      <c r="T231" s="48"/>
      <c r="U231" s="462"/>
      <c r="V231" s="462"/>
      <c r="W231" s="36"/>
      <c r="X231" s="49"/>
      <c r="Y231" s="50"/>
      <c r="Z231" s="50"/>
      <c r="AA231" s="50"/>
      <c r="AB231" s="51"/>
      <c r="AC231" s="52"/>
      <c r="AD231" s="465"/>
      <c r="AE231" s="53"/>
      <c r="AF231" s="54"/>
      <c r="AG231" s="55"/>
      <c r="AH231" s="468"/>
      <c r="AI231" s="468"/>
      <c r="AJ231" s="55"/>
      <c r="AK231" s="1"/>
      <c r="AL231" s="438"/>
      <c r="AM231" s="438"/>
      <c r="AN231" s="438"/>
      <c r="AO231" s="438"/>
      <c r="AP231" s="438"/>
      <c r="AQ231" s="438"/>
      <c r="AR231" s="438"/>
      <c r="AS231" s="438"/>
      <c r="AT231" s="29"/>
      <c r="AU231" s="30"/>
      <c r="AV231" s="30"/>
      <c r="AW231" s="30"/>
      <c r="AX231" s="30"/>
    </row>
    <row r="232" spans="1:50" ht="11.25" customHeight="1">
      <c r="A232" s="1"/>
      <c r="B232" s="442"/>
      <c r="C232" s="445"/>
      <c r="D232" s="448"/>
      <c r="E232" s="451"/>
      <c r="F232" s="454"/>
      <c r="G232" s="454"/>
      <c r="H232" s="471"/>
      <c r="I232" s="473"/>
      <c r="J232" s="473"/>
      <c r="K232" s="471"/>
      <c r="L232" s="44"/>
      <c r="M232" s="44"/>
      <c r="N232" s="476"/>
      <c r="O232" s="46"/>
      <c r="P232" s="46"/>
      <c r="Q232" s="47"/>
      <c r="R232" s="47"/>
      <c r="S232" s="47"/>
      <c r="T232" s="48"/>
      <c r="U232" s="462"/>
      <c r="V232" s="462"/>
      <c r="W232" s="36"/>
      <c r="X232" s="49"/>
      <c r="Y232" s="50"/>
      <c r="Z232" s="50"/>
      <c r="AA232" s="50"/>
      <c r="AB232" s="51"/>
      <c r="AC232" s="52"/>
      <c r="AD232" s="465"/>
      <c r="AE232" s="53"/>
      <c r="AF232" s="54"/>
      <c r="AG232" s="55"/>
      <c r="AH232" s="468"/>
      <c r="AI232" s="468"/>
      <c r="AJ232" s="55"/>
      <c r="AK232" s="1"/>
      <c r="AL232" s="438"/>
      <c r="AM232" s="438"/>
      <c r="AN232" s="438"/>
      <c r="AO232" s="438"/>
      <c r="AP232" s="438"/>
      <c r="AQ232" s="438"/>
      <c r="AR232" s="438"/>
      <c r="AS232" s="438"/>
      <c r="AT232" s="29"/>
      <c r="AU232" s="30"/>
      <c r="AV232" s="30"/>
      <c r="AW232" s="30"/>
      <c r="AX232" s="30"/>
    </row>
    <row r="233" spans="1:50" ht="11.25" customHeight="1">
      <c r="A233" s="1"/>
      <c r="B233" s="442"/>
      <c r="C233" s="445"/>
      <c r="D233" s="448"/>
      <c r="E233" s="451"/>
      <c r="F233" s="454"/>
      <c r="G233" s="454"/>
      <c r="H233" s="471"/>
      <c r="I233" s="473"/>
      <c r="J233" s="473"/>
      <c r="K233" s="471"/>
      <c r="L233" s="44"/>
      <c r="M233" s="44"/>
      <c r="N233" s="478"/>
      <c r="O233" s="57">
        <f t="shared" ref="O233" si="321">O225+O229</f>
        <v>0.32291666666666669</v>
      </c>
      <c r="P233" s="57">
        <f t="shared" ref="P233" si="322">SUM(P225:P229)</f>
        <v>0.32291666666666669</v>
      </c>
      <c r="Q233" s="47"/>
      <c r="R233" s="47"/>
      <c r="S233" s="47"/>
      <c r="T233" s="48"/>
      <c r="U233" s="462"/>
      <c r="V233" s="462"/>
      <c r="W233" s="36"/>
      <c r="X233" s="49"/>
      <c r="Y233" s="49"/>
      <c r="Z233" s="49"/>
      <c r="AA233" s="49"/>
      <c r="AB233" s="51"/>
      <c r="AC233" s="52"/>
      <c r="AD233" s="465"/>
      <c r="AE233" s="53"/>
      <c r="AF233" s="59"/>
      <c r="AG233" s="60"/>
      <c r="AH233" s="468"/>
      <c r="AI233" s="468"/>
      <c r="AJ233" s="55"/>
      <c r="AK233" s="1"/>
      <c r="AL233" s="438"/>
      <c r="AM233" s="438"/>
      <c r="AN233" s="438"/>
      <c r="AO233" s="438"/>
      <c r="AP233" s="438"/>
      <c r="AQ233" s="438"/>
      <c r="AR233" s="438"/>
      <c r="AS233" s="438"/>
      <c r="AT233" s="29"/>
      <c r="AU233" s="30"/>
      <c r="AV233" s="30"/>
      <c r="AW233" s="30"/>
      <c r="AX233" s="30"/>
    </row>
    <row r="234" spans="1:50" ht="11.25" customHeight="1">
      <c r="A234" s="1"/>
      <c r="B234" s="443"/>
      <c r="C234" s="446"/>
      <c r="D234" s="449"/>
      <c r="E234" s="452"/>
      <c r="F234" s="455"/>
      <c r="G234" s="455"/>
      <c r="H234" s="472"/>
      <c r="I234" s="474"/>
      <c r="J234" s="474"/>
      <c r="K234" s="472"/>
      <c r="L234" s="61"/>
      <c r="M234" s="61"/>
      <c r="N234" s="477"/>
      <c r="O234" s="62"/>
      <c r="P234" s="62"/>
      <c r="Q234" s="63"/>
      <c r="R234" s="63"/>
      <c r="S234" s="63"/>
      <c r="T234" s="64"/>
      <c r="U234" s="463"/>
      <c r="V234" s="463"/>
      <c r="W234" s="65"/>
      <c r="X234" s="66"/>
      <c r="Y234" s="67"/>
      <c r="Z234" s="67"/>
      <c r="AA234" s="67"/>
      <c r="AB234" s="68"/>
      <c r="AC234" s="69"/>
      <c r="AD234" s="466"/>
      <c r="AE234" s="70"/>
      <c r="AF234" s="71"/>
      <c r="AG234" s="72"/>
      <c r="AH234" s="469"/>
      <c r="AI234" s="469"/>
      <c r="AJ234" s="72"/>
      <c r="AK234" s="1"/>
      <c r="AL234" s="439"/>
      <c r="AM234" s="439"/>
      <c r="AN234" s="439"/>
      <c r="AO234" s="439"/>
      <c r="AP234" s="439"/>
      <c r="AQ234" s="439"/>
      <c r="AR234" s="439"/>
      <c r="AS234" s="439"/>
      <c r="AT234" s="29"/>
      <c r="AU234" s="30"/>
      <c r="AV234" s="30"/>
      <c r="AW234" s="30"/>
      <c r="AX234" s="30"/>
    </row>
    <row r="235" spans="1:50">
      <c r="A235" s="1"/>
      <c r="B235" s="441">
        <f>IF(B225="","",IF(B225+1&gt;$AB$3,"",B225+1))</f>
        <v>44674</v>
      </c>
      <c r="C235" s="444">
        <f>IF(C225="","",IF(C225+1&gt;$AB$3,"",C225+1))</f>
        <v>44674</v>
      </c>
      <c r="D235" s="447">
        <f>IF(C235="","",WEEKDAY(C235,1))</f>
        <v>7</v>
      </c>
      <c r="E235" s="450" t="str">
        <f>IF($D235="","",IF(NOT(ISERROR(MATCH($C235,祝日テーブル,0)=TRUE)),IF($D235=1,"法定","法定外"),IF($D235=1,"法定",IF($D235=7,"法定外",""))))</f>
        <v>法定外</v>
      </c>
      <c r="F235" s="453"/>
      <c r="G235" s="453"/>
      <c r="H235" s="470">
        <v>4.1666666666666664E-2</v>
      </c>
      <c r="I235" s="473"/>
      <c r="J235" s="473"/>
      <c r="K235" s="471"/>
      <c r="L235" s="32">
        <f t="shared" ref="L235" si="323">MOD(F235,100)+FLOOR(F235/100,1)*60</f>
        <v>0</v>
      </c>
      <c r="M235" s="32"/>
      <c r="N235" s="475"/>
      <c r="O235" s="33">
        <f t="shared" ref="O235" si="324">IF($I$3= "協力会社",M239,IF(L239&gt;=$L$12,$M$12,IF(L239&gt;0,M239,0)))</f>
        <v>0</v>
      </c>
      <c r="P235" s="33">
        <f t="shared" ref="P235" si="325">SUMIF(AB235:AB244,"1.00",AC235:AC244)+SUMIF(AB235:AB244,"振休取得",AC235:AC244)</f>
        <v>0</v>
      </c>
      <c r="Q235" s="34"/>
      <c r="R235" s="34"/>
      <c r="S235" s="34"/>
      <c r="T235" s="35"/>
      <c r="U235" s="462"/>
      <c r="V235" s="462"/>
      <c r="W235" s="36"/>
      <c r="X235" s="37"/>
      <c r="Y235" s="37"/>
      <c r="Z235" s="37"/>
      <c r="AA235" s="37"/>
      <c r="AB235" s="38"/>
      <c r="AC235" s="39"/>
      <c r="AD235" s="464"/>
      <c r="AE235" s="40"/>
      <c r="AF235" s="41"/>
      <c r="AG235" s="42"/>
      <c r="AH235" s="467"/>
      <c r="AI235" s="467"/>
      <c r="AJ235" s="73"/>
      <c r="AK235" s="1"/>
      <c r="AL235" s="437"/>
      <c r="AM235" s="437"/>
      <c r="AN235" s="437"/>
      <c r="AO235" s="437"/>
      <c r="AP235" s="437"/>
      <c r="AQ235" s="437"/>
      <c r="AR235" s="437"/>
      <c r="AS235" s="437"/>
      <c r="AT235" s="29"/>
      <c r="AU235" s="30"/>
      <c r="AV235" s="30"/>
      <c r="AW235" s="30"/>
      <c r="AX235" s="30"/>
    </row>
    <row r="236" spans="1:50" ht="11.25" customHeight="1">
      <c r="A236" s="1"/>
      <c r="B236" s="442"/>
      <c r="C236" s="445"/>
      <c r="D236" s="448"/>
      <c r="E236" s="451"/>
      <c r="F236" s="454"/>
      <c r="G236" s="454"/>
      <c r="H236" s="471"/>
      <c r="I236" s="473"/>
      <c r="J236" s="473"/>
      <c r="K236" s="471"/>
      <c r="L236" s="44">
        <f t="shared" ref="L236" si="326">MOD(G235,100)+FLOOR(G235/100,1)*60</f>
        <v>0</v>
      </c>
      <c r="M236" s="44"/>
      <c r="N236" s="476"/>
      <c r="O236" s="45"/>
      <c r="P236" s="46"/>
      <c r="Q236" s="47"/>
      <c r="R236" s="47"/>
      <c r="S236" s="47"/>
      <c r="T236" s="48"/>
      <c r="U236" s="462"/>
      <c r="V236" s="462"/>
      <c r="W236" s="36"/>
      <c r="X236" s="49"/>
      <c r="Y236" s="50"/>
      <c r="Z236" s="50"/>
      <c r="AA236" s="50"/>
      <c r="AB236" s="51"/>
      <c r="AC236" s="52"/>
      <c r="AD236" s="465"/>
      <c r="AE236" s="53"/>
      <c r="AF236" s="54"/>
      <c r="AG236" s="55"/>
      <c r="AH236" s="468"/>
      <c r="AI236" s="468"/>
      <c r="AJ236" s="55"/>
      <c r="AK236" s="1"/>
      <c r="AL236" s="438"/>
      <c r="AM236" s="438"/>
      <c r="AN236" s="438"/>
      <c r="AO236" s="438"/>
      <c r="AP236" s="438"/>
      <c r="AQ236" s="438"/>
      <c r="AR236" s="438"/>
      <c r="AS236" s="438"/>
      <c r="AT236" s="29"/>
      <c r="AU236" s="30"/>
      <c r="AV236" s="30"/>
      <c r="AW236" s="30"/>
      <c r="AX236" s="30"/>
    </row>
    <row r="237" spans="1:50" ht="11.25" customHeight="1">
      <c r="A237" s="1"/>
      <c r="B237" s="442"/>
      <c r="C237" s="445"/>
      <c r="D237" s="448"/>
      <c r="E237" s="451"/>
      <c r="F237" s="454"/>
      <c r="G237" s="454"/>
      <c r="H237" s="471"/>
      <c r="I237" s="473"/>
      <c r="J237" s="473"/>
      <c r="K237" s="471"/>
      <c r="L237" s="44">
        <f t="shared" ref="L237" si="327">L236-L235</f>
        <v>0</v>
      </c>
      <c r="M237" s="44"/>
      <c r="N237" s="476"/>
      <c r="O237" s="46"/>
      <c r="P237" s="45">
        <f t="shared" ref="P237" si="328">SUMIF(AB235:AB244,"有休",AC235:AC244)+SUMIF(AB235:AB244,"無給休",AC235:AC244)+SUMIF(AB235:AB244,"振休",AC235:AC244)+SUMIF(AB235:AB244,"特休",AC235:AC244)</f>
        <v>0</v>
      </c>
      <c r="Q237" s="47"/>
      <c r="R237" s="47"/>
      <c r="S237" s="47"/>
      <c r="T237" s="48"/>
      <c r="U237" s="462"/>
      <c r="V237" s="462"/>
      <c r="W237" s="36"/>
      <c r="X237" s="49"/>
      <c r="Y237" s="50"/>
      <c r="Z237" s="50"/>
      <c r="AA237" s="50"/>
      <c r="AB237" s="51"/>
      <c r="AC237" s="52"/>
      <c r="AD237" s="465"/>
      <c r="AE237" s="53"/>
      <c r="AF237" s="54"/>
      <c r="AG237" s="55"/>
      <c r="AH237" s="468"/>
      <c r="AI237" s="468"/>
      <c r="AJ237" s="54"/>
      <c r="AK237" s="1"/>
      <c r="AL237" s="438"/>
      <c r="AM237" s="438"/>
      <c r="AN237" s="438"/>
      <c r="AO237" s="438"/>
      <c r="AP237" s="438"/>
      <c r="AQ237" s="438"/>
      <c r="AR237" s="438"/>
      <c r="AS237" s="438"/>
      <c r="AT237" s="29"/>
      <c r="AU237" s="30"/>
      <c r="AV237" s="30"/>
      <c r="AW237" s="30"/>
      <c r="AX237" s="30"/>
    </row>
    <row r="238" spans="1:50" ht="11.25" customHeight="1">
      <c r="A238" s="1"/>
      <c r="B238" s="442"/>
      <c r="C238" s="445"/>
      <c r="D238" s="448"/>
      <c r="E238" s="451"/>
      <c r="F238" s="454"/>
      <c r="G238" s="454"/>
      <c r="H238" s="471"/>
      <c r="I238" s="473"/>
      <c r="J238" s="473"/>
      <c r="K238" s="471"/>
      <c r="L238" s="44">
        <f t="shared" ref="L238" si="329">ROUNDUP(L237/60,2)</f>
        <v>0</v>
      </c>
      <c r="M238" s="44"/>
      <c r="N238" s="476"/>
      <c r="O238" s="46"/>
      <c r="P238" s="46"/>
      <c r="Q238" s="47"/>
      <c r="R238" s="47"/>
      <c r="S238" s="47"/>
      <c r="T238" s="48"/>
      <c r="U238" s="462"/>
      <c r="V238" s="462"/>
      <c r="W238" s="36"/>
      <c r="X238" s="49"/>
      <c r="Y238" s="50"/>
      <c r="Z238" s="50"/>
      <c r="AA238" s="50"/>
      <c r="AB238" s="51"/>
      <c r="AC238" s="52"/>
      <c r="AD238" s="465"/>
      <c r="AE238" s="53"/>
      <c r="AF238" s="54"/>
      <c r="AG238" s="55"/>
      <c r="AH238" s="468"/>
      <c r="AI238" s="468"/>
      <c r="AJ238" s="55"/>
      <c r="AK238" s="1"/>
      <c r="AL238" s="438"/>
      <c r="AM238" s="438"/>
      <c r="AN238" s="438"/>
      <c r="AO238" s="438"/>
      <c r="AP238" s="438"/>
      <c r="AQ238" s="438"/>
      <c r="AR238" s="438"/>
      <c r="AS238" s="438"/>
      <c r="AT238" s="29"/>
      <c r="AU238" s="30"/>
      <c r="AV238" s="30"/>
      <c r="AW238" s="30"/>
      <c r="AX238" s="30"/>
    </row>
    <row r="239" spans="1:50" ht="11.25" customHeight="1">
      <c r="A239" s="1"/>
      <c r="B239" s="442"/>
      <c r="C239" s="445"/>
      <c r="D239" s="448"/>
      <c r="E239" s="451"/>
      <c r="F239" s="454"/>
      <c r="G239" s="454"/>
      <c r="H239" s="471"/>
      <c r="I239" s="473"/>
      <c r="J239" s="473"/>
      <c r="K239" s="471"/>
      <c r="L239" s="44">
        <f t="shared" ref="L239" si="330">IF(L238&gt;0,L238-HOUR(H235)-MINUTE(H235)/60,0)</f>
        <v>0</v>
      </c>
      <c r="M239" s="56">
        <f t="shared" ref="M239" si="331">TIME(L239-MOD(L239,1),MOD(L239,1)*60,0)</f>
        <v>0</v>
      </c>
      <c r="N239" s="476"/>
      <c r="O239" s="45">
        <f t="shared" ref="O239" si="332">M241</f>
        <v>0</v>
      </c>
      <c r="P239" s="45">
        <f t="shared" ref="P239" si="333">SUMIF(AB235:AB244,"1.25",AC235:AC244)+SUMIF(AB235:AB244,"他時間外",AC235:AC244)+SUMIF(AB235:AB244,"1.35",AC235:AC244)</f>
        <v>0</v>
      </c>
      <c r="Q239" s="47"/>
      <c r="R239" s="47"/>
      <c r="S239" s="47"/>
      <c r="T239" s="48"/>
      <c r="U239" s="462"/>
      <c r="V239" s="462"/>
      <c r="W239" s="36"/>
      <c r="X239" s="49"/>
      <c r="Y239" s="50"/>
      <c r="Z239" s="50"/>
      <c r="AA239" s="50"/>
      <c r="AB239" s="51"/>
      <c r="AC239" s="52"/>
      <c r="AD239" s="465"/>
      <c r="AE239" s="53"/>
      <c r="AF239" s="54"/>
      <c r="AG239" s="55"/>
      <c r="AH239" s="468"/>
      <c r="AI239" s="468"/>
      <c r="AJ239" s="55"/>
      <c r="AK239" s="1"/>
      <c r="AL239" s="438"/>
      <c r="AM239" s="438"/>
      <c r="AN239" s="438"/>
      <c r="AO239" s="438"/>
      <c r="AP239" s="438"/>
      <c r="AQ239" s="438"/>
      <c r="AR239" s="438"/>
      <c r="AS239" s="438"/>
      <c r="AT239" s="29"/>
      <c r="AU239" s="30"/>
      <c r="AV239" s="30"/>
      <c r="AW239" s="30"/>
      <c r="AX239" s="30"/>
    </row>
    <row r="240" spans="1:50" ht="11.25" customHeight="1">
      <c r="A240" s="1"/>
      <c r="B240" s="442"/>
      <c r="C240" s="445"/>
      <c r="D240" s="448"/>
      <c r="E240" s="451"/>
      <c r="F240" s="454"/>
      <c r="G240" s="454"/>
      <c r="H240" s="471"/>
      <c r="I240" s="473"/>
      <c r="J240" s="473"/>
      <c r="K240" s="471"/>
      <c r="L240" s="44">
        <f t="shared" ref="L240" si="334">L239-$L$12</f>
        <v>-7.75</v>
      </c>
      <c r="M240" s="44"/>
      <c r="N240" s="476"/>
      <c r="O240" s="46"/>
      <c r="P240" s="46"/>
      <c r="Q240" s="47"/>
      <c r="R240" s="47"/>
      <c r="S240" s="47"/>
      <c r="T240" s="48"/>
      <c r="U240" s="462"/>
      <c r="V240" s="462"/>
      <c r="W240" s="36"/>
      <c r="X240" s="49"/>
      <c r="Y240" s="50"/>
      <c r="Z240" s="50"/>
      <c r="AA240" s="50"/>
      <c r="AB240" s="51"/>
      <c r="AC240" s="52"/>
      <c r="AD240" s="465"/>
      <c r="AE240" s="53"/>
      <c r="AF240" s="54"/>
      <c r="AG240" s="55"/>
      <c r="AH240" s="468"/>
      <c r="AI240" s="468"/>
      <c r="AJ240" s="55"/>
      <c r="AK240" s="1"/>
      <c r="AL240" s="438"/>
      <c r="AM240" s="438"/>
      <c r="AN240" s="438"/>
      <c r="AO240" s="438"/>
      <c r="AP240" s="438"/>
      <c r="AQ240" s="438"/>
      <c r="AR240" s="438"/>
      <c r="AS240" s="438"/>
      <c r="AT240" s="29"/>
      <c r="AU240" s="30"/>
      <c r="AV240" s="30"/>
      <c r="AW240" s="30"/>
      <c r="AX240" s="30"/>
    </row>
    <row r="241" spans="1:50" ht="11.25" customHeight="1">
      <c r="A241" s="1"/>
      <c r="B241" s="442"/>
      <c r="C241" s="445"/>
      <c r="D241" s="448"/>
      <c r="E241" s="451"/>
      <c r="F241" s="454"/>
      <c r="G241" s="454"/>
      <c r="H241" s="471"/>
      <c r="I241" s="473"/>
      <c r="J241" s="473"/>
      <c r="K241" s="471"/>
      <c r="L241" s="44">
        <f t="shared" ref="L241" si="335">IF($I$3= "協力会社",0,IF(L240&gt;0,L240,0))</f>
        <v>0</v>
      </c>
      <c r="M241" s="56">
        <f t="shared" ref="M241" si="336">TIME(L241-MOD(L241,1),MOD(L241,1)*60,0)</f>
        <v>0</v>
      </c>
      <c r="N241" s="476"/>
      <c r="O241" s="46"/>
      <c r="P241" s="45">
        <f t="shared" ref="P241" si="337">SUMIF(AB235:AB244,"0.25深夜",AC235:AC244)</f>
        <v>0</v>
      </c>
      <c r="Q241" s="47"/>
      <c r="R241" s="47"/>
      <c r="S241" s="47"/>
      <c r="T241" s="48"/>
      <c r="U241" s="462"/>
      <c r="V241" s="462"/>
      <c r="W241" s="36"/>
      <c r="X241" s="49"/>
      <c r="Y241" s="50"/>
      <c r="Z241" s="50"/>
      <c r="AA241" s="50"/>
      <c r="AB241" s="51"/>
      <c r="AC241" s="52"/>
      <c r="AD241" s="465"/>
      <c r="AE241" s="53"/>
      <c r="AF241" s="54"/>
      <c r="AG241" s="55"/>
      <c r="AH241" s="468"/>
      <c r="AI241" s="468"/>
      <c r="AJ241" s="55"/>
      <c r="AK241" s="1"/>
      <c r="AL241" s="438"/>
      <c r="AM241" s="438"/>
      <c r="AN241" s="438"/>
      <c r="AO241" s="438"/>
      <c r="AP241" s="438"/>
      <c r="AQ241" s="438"/>
      <c r="AR241" s="438"/>
      <c r="AS241" s="438"/>
      <c r="AT241" s="29"/>
      <c r="AU241" s="30"/>
      <c r="AV241" s="30"/>
      <c r="AW241" s="30"/>
      <c r="AX241" s="30"/>
    </row>
    <row r="242" spans="1:50" ht="11.25" customHeight="1">
      <c r="A242" s="1"/>
      <c r="B242" s="442"/>
      <c r="C242" s="445"/>
      <c r="D242" s="448"/>
      <c r="E242" s="451"/>
      <c r="F242" s="454"/>
      <c r="G242" s="454"/>
      <c r="H242" s="471"/>
      <c r="I242" s="473"/>
      <c r="J242" s="473"/>
      <c r="K242" s="471"/>
      <c r="L242" s="44"/>
      <c r="M242" s="44"/>
      <c r="N242" s="476"/>
      <c r="O242" s="46"/>
      <c r="P242" s="46"/>
      <c r="Q242" s="47"/>
      <c r="R242" s="47"/>
      <c r="S242" s="47"/>
      <c r="T242" s="48"/>
      <c r="U242" s="462"/>
      <c r="V242" s="462"/>
      <c r="W242" s="36"/>
      <c r="X242" s="49"/>
      <c r="Y242" s="50"/>
      <c r="Z242" s="50"/>
      <c r="AA242" s="50"/>
      <c r="AB242" s="51"/>
      <c r="AC242" s="52"/>
      <c r="AD242" s="465"/>
      <c r="AE242" s="53"/>
      <c r="AF242" s="54"/>
      <c r="AG242" s="55"/>
      <c r="AH242" s="468"/>
      <c r="AI242" s="468"/>
      <c r="AJ242" s="55"/>
      <c r="AK242" s="1"/>
      <c r="AL242" s="438"/>
      <c r="AM242" s="438"/>
      <c r="AN242" s="438"/>
      <c r="AO242" s="438"/>
      <c r="AP242" s="438"/>
      <c r="AQ242" s="438"/>
      <c r="AR242" s="438"/>
      <c r="AS242" s="438"/>
      <c r="AT242" s="29"/>
      <c r="AU242" s="30"/>
      <c r="AV242" s="30"/>
      <c r="AW242" s="30"/>
      <c r="AX242" s="30"/>
    </row>
    <row r="243" spans="1:50" ht="11.25" customHeight="1">
      <c r="A243" s="1"/>
      <c r="B243" s="442"/>
      <c r="C243" s="445"/>
      <c r="D243" s="448"/>
      <c r="E243" s="451"/>
      <c r="F243" s="454"/>
      <c r="G243" s="454"/>
      <c r="H243" s="471"/>
      <c r="I243" s="473"/>
      <c r="J243" s="473"/>
      <c r="K243" s="471"/>
      <c r="L243" s="44"/>
      <c r="M243" s="44"/>
      <c r="N243" s="478"/>
      <c r="O243" s="57">
        <f t="shared" ref="O243" si="338">O235+O239</f>
        <v>0</v>
      </c>
      <c r="P243" s="57">
        <f t="shared" ref="P243" si="339">SUM(P235:P239)</f>
        <v>0</v>
      </c>
      <c r="Q243" s="47"/>
      <c r="R243" s="47"/>
      <c r="S243" s="47"/>
      <c r="T243" s="48"/>
      <c r="U243" s="462"/>
      <c r="V243" s="462"/>
      <c r="W243" s="36"/>
      <c r="X243" s="49"/>
      <c r="Y243" s="49"/>
      <c r="Z243" s="49"/>
      <c r="AA243" s="49"/>
      <c r="AB243" s="51"/>
      <c r="AC243" s="52"/>
      <c r="AD243" s="465"/>
      <c r="AE243" s="53"/>
      <c r="AF243" s="59"/>
      <c r="AG243" s="60"/>
      <c r="AH243" s="468"/>
      <c r="AI243" s="468"/>
      <c r="AJ243" s="55"/>
      <c r="AK243" s="1"/>
      <c r="AL243" s="438"/>
      <c r="AM243" s="438"/>
      <c r="AN243" s="438"/>
      <c r="AO243" s="438"/>
      <c r="AP243" s="438"/>
      <c r="AQ243" s="438"/>
      <c r="AR243" s="438"/>
      <c r="AS243" s="438"/>
      <c r="AT243" s="29"/>
      <c r="AU243" s="30"/>
      <c r="AV243" s="30"/>
      <c r="AW243" s="30"/>
      <c r="AX243" s="30"/>
    </row>
    <row r="244" spans="1:50" ht="11.25" customHeight="1">
      <c r="A244" s="1"/>
      <c r="B244" s="443"/>
      <c r="C244" s="446"/>
      <c r="D244" s="449"/>
      <c r="E244" s="452"/>
      <c r="F244" s="455"/>
      <c r="G244" s="455"/>
      <c r="H244" s="472"/>
      <c r="I244" s="474"/>
      <c r="J244" s="474"/>
      <c r="K244" s="472"/>
      <c r="L244" s="61"/>
      <c r="M244" s="61"/>
      <c r="N244" s="477"/>
      <c r="O244" s="62"/>
      <c r="P244" s="62"/>
      <c r="Q244" s="63"/>
      <c r="R244" s="63"/>
      <c r="S244" s="63"/>
      <c r="T244" s="64"/>
      <c r="U244" s="463"/>
      <c r="V244" s="463"/>
      <c r="W244" s="65"/>
      <c r="X244" s="66"/>
      <c r="Y244" s="67"/>
      <c r="Z244" s="67"/>
      <c r="AA244" s="67"/>
      <c r="AB244" s="68"/>
      <c r="AC244" s="69"/>
      <c r="AD244" s="466"/>
      <c r="AE244" s="70"/>
      <c r="AF244" s="71"/>
      <c r="AG244" s="72"/>
      <c r="AH244" s="469"/>
      <c r="AI244" s="469"/>
      <c r="AJ244" s="72"/>
      <c r="AK244" s="1"/>
      <c r="AL244" s="439"/>
      <c r="AM244" s="439"/>
      <c r="AN244" s="439"/>
      <c r="AO244" s="439"/>
      <c r="AP244" s="439"/>
      <c r="AQ244" s="439"/>
      <c r="AR244" s="439"/>
      <c r="AS244" s="439"/>
      <c r="AT244" s="29"/>
      <c r="AU244" s="30"/>
      <c r="AV244" s="30"/>
      <c r="AW244" s="30"/>
      <c r="AX244" s="30"/>
    </row>
    <row r="245" spans="1:50">
      <c r="A245" s="1"/>
      <c r="B245" s="441">
        <f>IF(B235="","",IF(B235+1&gt;$AB$3,"",B235+1))</f>
        <v>44675</v>
      </c>
      <c r="C245" s="444">
        <f>IF(C235="","",IF(C235+1&gt;$AB$3,"",C235+1))</f>
        <v>44675</v>
      </c>
      <c r="D245" s="447">
        <f>IF(C245="","",WEEKDAY(C245,1))</f>
        <v>1</v>
      </c>
      <c r="E245" s="450" t="str">
        <f>IF($D245="","",IF(NOT(ISERROR(MATCH($C245,祝日テーブル,0)=TRUE)),IF($D245=1,"法定","法定外"),IF($D245=1,"法定",IF($D245=7,"法定外",""))))</f>
        <v>法定</v>
      </c>
      <c r="F245" s="453"/>
      <c r="G245" s="453"/>
      <c r="H245" s="470">
        <v>4.1666666666666664E-2</v>
      </c>
      <c r="I245" s="473"/>
      <c r="J245" s="473"/>
      <c r="K245" s="471"/>
      <c r="L245" s="32">
        <f t="shared" ref="L245" si="340">MOD(F245,100)+FLOOR(F245/100,1)*60</f>
        <v>0</v>
      </c>
      <c r="M245" s="32"/>
      <c r="N245" s="475"/>
      <c r="O245" s="33">
        <f t="shared" ref="O245" si="341">IF($I$3= "協力会社",M249,IF(L249&gt;=$L$12,$M$12,IF(L249&gt;0,M249,0)))</f>
        <v>0</v>
      </c>
      <c r="P245" s="33">
        <f t="shared" ref="P245" si="342">SUMIF(AB245:AB254,"1.00",AC245:AC254)+SUMIF(AB245:AB254,"振休取得",AC245:AC254)</f>
        <v>0</v>
      </c>
      <c r="Q245" s="34"/>
      <c r="R245" s="34"/>
      <c r="S245" s="34"/>
      <c r="T245" s="35"/>
      <c r="U245" s="462"/>
      <c r="V245" s="462"/>
      <c r="W245" s="36"/>
      <c r="X245" s="37"/>
      <c r="Y245" s="37"/>
      <c r="Z245" s="37"/>
      <c r="AA245" s="37"/>
      <c r="AB245" s="38"/>
      <c r="AC245" s="39"/>
      <c r="AD245" s="464"/>
      <c r="AE245" s="40"/>
      <c r="AF245" s="41"/>
      <c r="AG245" s="42"/>
      <c r="AH245" s="467"/>
      <c r="AI245" s="467"/>
      <c r="AJ245" s="43"/>
      <c r="AK245" s="1"/>
      <c r="AL245" s="437"/>
      <c r="AM245" s="437"/>
      <c r="AN245" s="437"/>
      <c r="AO245" s="437"/>
      <c r="AP245" s="437"/>
      <c r="AQ245" s="437"/>
      <c r="AR245" s="437"/>
      <c r="AS245" s="437"/>
      <c r="AT245" s="29"/>
      <c r="AU245" s="30"/>
      <c r="AV245" s="30"/>
      <c r="AW245" s="30"/>
      <c r="AX245" s="30"/>
    </row>
    <row r="246" spans="1:50" ht="11.25" customHeight="1">
      <c r="A246" s="1"/>
      <c r="B246" s="442"/>
      <c r="C246" s="445"/>
      <c r="D246" s="448"/>
      <c r="E246" s="451"/>
      <c r="F246" s="454"/>
      <c r="G246" s="454"/>
      <c r="H246" s="471"/>
      <c r="I246" s="473"/>
      <c r="J246" s="473"/>
      <c r="K246" s="471"/>
      <c r="L246" s="44">
        <f t="shared" ref="L246" si="343">MOD(G245,100)+FLOOR(G245/100,1)*60</f>
        <v>0</v>
      </c>
      <c r="M246" s="44"/>
      <c r="N246" s="476"/>
      <c r="O246" s="45"/>
      <c r="P246" s="46"/>
      <c r="Q246" s="47"/>
      <c r="R246" s="47"/>
      <c r="S246" s="47"/>
      <c r="T246" s="48"/>
      <c r="U246" s="462"/>
      <c r="V246" s="462"/>
      <c r="W246" s="36"/>
      <c r="X246" s="49"/>
      <c r="Y246" s="50"/>
      <c r="Z246" s="50"/>
      <c r="AA246" s="50"/>
      <c r="AB246" s="51"/>
      <c r="AC246" s="52"/>
      <c r="AD246" s="465"/>
      <c r="AE246" s="53"/>
      <c r="AF246" s="54"/>
      <c r="AG246" s="55"/>
      <c r="AH246" s="468"/>
      <c r="AI246" s="468"/>
      <c r="AJ246" s="55"/>
      <c r="AK246" s="1"/>
      <c r="AL246" s="438"/>
      <c r="AM246" s="438"/>
      <c r="AN246" s="438"/>
      <c r="AO246" s="438"/>
      <c r="AP246" s="438"/>
      <c r="AQ246" s="438"/>
      <c r="AR246" s="438"/>
      <c r="AS246" s="438"/>
      <c r="AT246" s="29"/>
      <c r="AU246" s="30"/>
      <c r="AV246" s="30"/>
      <c r="AW246" s="30"/>
      <c r="AX246" s="30"/>
    </row>
    <row r="247" spans="1:50" ht="11.25" customHeight="1">
      <c r="A247" s="1"/>
      <c r="B247" s="442"/>
      <c r="C247" s="445"/>
      <c r="D247" s="448"/>
      <c r="E247" s="451"/>
      <c r="F247" s="454"/>
      <c r="G247" s="454"/>
      <c r="H247" s="471"/>
      <c r="I247" s="473"/>
      <c r="J247" s="473"/>
      <c r="K247" s="471"/>
      <c r="L247" s="44">
        <f t="shared" ref="L247" si="344">L246-L245</f>
        <v>0</v>
      </c>
      <c r="M247" s="44"/>
      <c r="N247" s="476"/>
      <c r="O247" s="46"/>
      <c r="P247" s="45">
        <f t="shared" ref="P247" si="345">SUMIF(AB245:AB254,"有休",AC245:AC254)+SUMIF(AB245:AB254,"無給休",AC245:AC254)+SUMIF(AB245:AB254,"振休",AC245:AC254)+SUMIF(AB245:AB254,"特休",AC245:AC254)</f>
        <v>0</v>
      </c>
      <c r="Q247" s="47"/>
      <c r="R247" s="47"/>
      <c r="S247" s="47"/>
      <c r="T247" s="48"/>
      <c r="U247" s="462"/>
      <c r="V247" s="462"/>
      <c r="W247" s="36"/>
      <c r="X247" s="49"/>
      <c r="Y247" s="50"/>
      <c r="Z247" s="50"/>
      <c r="AA247" s="50"/>
      <c r="AB247" s="51"/>
      <c r="AC247" s="52"/>
      <c r="AD247" s="465"/>
      <c r="AE247" s="53"/>
      <c r="AF247" s="54"/>
      <c r="AG247" s="55"/>
      <c r="AH247" s="468"/>
      <c r="AI247" s="468"/>
      <c r="AJ247" s="54"/>
      <c r="AK247" s="1"/>
      <c r="AL247" s="438"/>
      <c r="AM247" s="438"/>
      <c r="AN247" s="438"/>
      <c r="AO247" s="438"/>
      <c r="AP247" s="438"/>
      <c r="AQ247" s="438"/>
      <c r="AR247" s="438"/>
      <c r="AS247" s="438"/>
      <c r="AT247" s="29"/>
      <c r="AU247" s="30"/>
      <c r="AV247" s="30"/>
      <c r="AW247" s="30"/>
      <c r="AX247" s="30"/>
    </row>
    <row r="248" spans="1:50" ht="11.25" customHeight="1">
      <c r="A248" s="1"/>
      <c r="B248" s="442"/>
      <c r="C248" s="445"/>
      <c r="D248" s="448"/>
      <c r="E248" s="451"/>
      <c r="F248" s="454"/>
      <c r="G248" s="454"/>
      <c r="H248" s="471"/>
      <c r="I248" s="473"/>
      <c r="J248" s="473"/>
      <c r="K248" s="471"/>
      <c r="L248" s="44">
        <f t="shared" ref="L248" si="346">ROUNDUP(L247/60,2)</f>
        <v>0</v>
      </c>
      <c r="M248" s="44"/>
      <c r="N248" s="476"/>
      <c r="O248" s="46"/>
      <c r="P248" s="46"/>
      <c r="Q248" s="47"/>
      <c r="R248" s="47"/>
      <c r="S248" s="47"/>
      <c r="T248" s="48"/>
      <c r="U248" s="462"/>
      <c r="V248" s="462"/>
      <c r="W248" s="36"/>
      <c r="X248" s="49"/>
      <c r="Y248" s="50"/>
      <c r="Z248" s="50"/>
      <c r="AA248" s="50"/>
      <c r="AB248" s="51"/>
      <c r="AC248" s="52"/>
      <c r="AD248" s="465"/>
      <c r="AE248" s="53"/>
      <c r="AF248" s="54"/>
      <c r="AG248" s="55"/>
      <c r="AH248" s="468"/>
      <c r="AI248" s="468"/>
      <c r="AJ248" s="55"/>
      <c r="AK248" s="1"/>
      <c r="AL248" s="438"/>
      <c r="AM248" s="438"/>
      <c r="AN248" s="438"/>
      <c r="AO248" s="438"/>
      <c r="AP248" s="438"/>
      <c r="AQ248" s="438"/>
      <c r="AR248" s="438"/>
      <c r="AS248" s="438"/>
      <c r="AT248" s="29"/>
      <c r="AU248" s="30"/>
      <c r="AV248" s="30"/>
      <c r="AW248" s="30"/>
      <c r="AX248" s="30"/>
    </row>
    <row r="249" spans="1:50" ht="11.25" customHeight="1">
      <c r="A249" s="1"/>
      <c r="B249" s="442"/>
      <c r="C249" s="445"/>
      <c r="D249" s="448"/>
      <c r="E249" s="451"/>
      <c r="F249" s="454"/>
      <c r="G249" s="454"/>
      <c r="H249" s="471"/>
      <c r="I249" s="473"/>
      <c r="J249" s="473"/>
      <c r="K249" s="471"/>
      <c r="L249" s="44">
        <f t="shared" ref="L249" si="347">IF(L248&gt;0,L248-HOUR(H245)-MINUTE(H245)/60,0)</f>
        <v>0</v>
      </c>
      <c r="M249" s="56">
        <f t="shared" ref="M249" si="348">TIME(L249-MOD(L249,1),MOD(L249,1)*60,0)</f>
        <v>0</v>
      </c>
      <c r="N249" s="476"/>
      <c r="O249" s="45">
        <f t="shared" ref="O249" si="349">M251</f>
        <v>0</v>
      </c>
      <c r="P249" s="45">
        <f t="shared" ref="P249" si="350">SUMIF(AB245:AB254,"1.25",AC245:AC254)+SUMIF(AB245:AB254,"他時間外",AC245:AC254)+SUMIF(AB245:AB254,"1.35",AC245:AC254)</f>
        <v>0</v>
      </c>
      <c r="Q249" s="47"/>
      <c r="R249" s="47"/>
      <c r="S249" s="47"/>
      <c r="T249" s="48"/>
      <c r="U249" s="462"/>
      <c r="V249" s="462"/>
      <c r="W249" s="36"/>
      <c r="X249" s="49"/>
      <c r="Y249" s="50"/>
      <c r="Z249" s="50"/>
      <c r="AA249" s="50"/>
      <c r="AB249" s="51"/>
      <c r="AC249" s="52"/>
      <c r="AD249" s="465"/>
      <c r="AE249" s="53"/>
      <c r="AF249" s="54"/>
      <c r="AG249" s="55"/>
      <c r="AH249" s="468"/>
      <c r="AI249" s="468"/>
      <c r="AJ249" s="55"/>
      <c r="AK249" s="1"/>
      <c r="AL249" s="438"/>
      <c r="AM249" s="438"/>
      <c r="AN249" s="438"/>
      <c r="AO249" s="438"/>
      <c r="AP249" s="438"/>
      <c r="AQ249" s="438"/>
      <c r="AR249" s="438"/>
      <c r="AS249" s="438"/>
      <c r="AT249" s="29"/>
      <c r="AU249" s="30"/>
      <c r="AV249" s="30"/>
      <c r="AW249" s="30"/>
      <c r="AX249" s="30"/>
    </row>
    <row r="250" spans="1:50" ht="11.25" customHeight="1">
      <c r="A250" s="1"/>
      <c r="B250" s="442"/>
      <c r="C250" s="445"/>
      <c r="D250" s="448"/>
      <c r="E250" s="451"/>
      <c r="F250" s="454"/>
      <c r="G250" s="454"/>
      <c r="H250" s="471"/>
      <c r="I250" s="473"/>
      <c r="J250" s="473"/>
      <c r="K250" s="471"/>
      <c r="L250" s="44">
        <f t="shared" ref="L250" si="351">L249-$L$12</f>
        <v>-7.75</v>
      </c>
      <c r="M250" s="44"/>
      <c r="N250" s="476"/>
      <c r="O250" s="46"/>
      <c r="P250" s="46"/>
      <c r="Q250" s="47"/>
      <c r="R250" s="47"/>
      <c r="S250" s="47"/>
      <c r="T250" s="48"/>
      <c r="U250" s="462"/>
      <c r="V250" s="462"/>
      <c r="W250" s="36"/>
      <c r="X250" s="49"/>
      <c r="Y250" s="50"/>
      <c r="Z250" s="50"/>
      <c r="AA250" s="50"/>
      <c r="AB250" s="51"/>
      <c r="AC250" s="52"/>
      <c r="AD250" s="465"/>
      <c r="AE250" s="53"/>
      <c r="AF250" s="54"/>
      <c r="AG250" s="55"/>
      <c r="AH250" s="468"/>
      <c r="AI250" s="468"/>
      <c r="AJ250" s="55"/>
      <c r="AK250" s="1"/>
      <c r="AL250" s="438"/>
      <c r="AM250" s="438"/>
      <c r="AN250" s="438"/>
      <c r="AO250" s="438"/>
      <c r="AP250" s="438"/>
      <c r="AQ250" s="438"/>
      <c r="AR250" s="438"/>
      <c r="AS250" s="438"/>
      <c r="AT250" s="29"/>
      <c r="AU250" s="30"/>
      <c r="AV250" s="30"/>
      <c r="AW250" s="30"/>
      <c r="AX250" s="30"/>
    </row>
    <row r="251" spans="1:50" ht="11.25" customHeight="1">
      <c r="A251" s="1"/>
      <c r="B251" s="442"/>
      <c r="C251" s="445"/>
      <c r="D251" s="448"/>
      <c r="E251" s="451"/>
      <c r="F251" s="454"/>
      <c r="G251" s="454"/>
      <c r="H251" s="471"/>
      <c r="I251" s="473"/>
      <c r="J251" s="473"/>
      <c r="K251" s="471"/>
      <c r="L251" s="44">
        <f t="shared" ref="L251" si="352">IF($I$3= "協力会社",0,IF(L250&gt;0,L250,0))</f>
        <v>0</v>
      </c>
      <c r="M251" s="56">
        <f t="shared" ref="M251" si="353">TIME(L251-MOD(L251,1),MOD(L251,1)*60,0)</f>
        <v>0</v>
      </c>
      <c r="N251" s="476"/>
      <c r="O251" s="46"/>
      <c r="P251" s="45">
        <f t="shared" ref="P251" si="354">SUMIF(AB245:AB254,"0.25深夜",AC245:AC254)</f>
        <v>0</v>
      </c>
      <c r="Q251" s="47"/>
      <c r="R251" s="47"/>
      <c r="S251" s="47"/>
      <c r="T251" s="48"/>
      <c r="U251" s="462"/>
      <c r="V251" s="462"/>
      <c r="W251" s="36"/>
      <c r="X251" s="49"/>
      <c r="Y251" s="50"/>
      <c r="Z251" s="50"/>
      <c r="AA251" s="50"/>
      <c r="AB251" s="51"/>
      <c r="AC251" s="52"/>
      <c r="AD251" s="465"/>
      <c r="AE251" s="53"/>
      <c r="AF251" s="54"/>
      <c r="AG251" s="55"/>
      <c r="AH251" s="468"/>
      <c r="AI251" s="468"/>
      <c r="AJ251" s="55"/>
      <c r="AK251" s="1"/>
      <c r="AL251" s="438"/>
      <c r="AM251" s="438"/>
      <c r="AN251" s="438"/>
      <c r="AO251" s="438"/>
      <c r="AP251" s="438"/>
      <c r="AQ251" s="438"/>
      <c r="AR251" s="438"/>
      <c r="AS251" s="438"/>
      <c r="AT251" s="29"/>
      <c r="AU251" s="30"/>
      <c r="AV251" s="30"/>
      <c r="AW251" s="30"/>
      <c r="AX251" s="30"/>
    </row>
    <row r="252" spans="1:50" ht="11.25" customHeight="1">
      <c r="A252" s="1"/>
      <c r="B252" s="442"/>
      <c r="C252" s="445"/>
      <c r="D252" s="448"/>
      <c r="E252" s="451"/>
      <c r="F252" s="454"/>
      <c r="G252" s="454"/>
      <c r="H252" s="471"/>
      <c r="I252" s="473"/>
      <c r="J252" s="473"/>
      <c r="K252" s="471"/>
      <c r="L252" s="44"/>
      <c r="M252" s="44"/>
      <c r="N252" s="476"/>
      <c r="O252" s="46"/>
      <c r="P252" s="46"/>
      <c r="Q252" s="47"/>
      <c r="R252" s="47"/>
      <c r="S252" s="47"/>
      <c r="T252" s="48"/>
      <c r="U252" s="462"/>
      <c r="V252" s="462"/>
      <c r="W252" s="36"/>
      <c r="X252" s="49"/>
      <c r="Y252" s="50"/>
      <c r="Z252" s="50"/>
      <c r="AA252" s="50"/>
      <c r="AB252" s="51"/>
      <c r="AC252" s="52"/>
      <c r="AD252" s="465"/>
      <c r="AE252" s="53"/>
      <c r="AF252" s="54"/>
      <c r="AG252" s="55"/>
      <c r="AH252" s="468"/>
      <c r="AI252" s="468"/>
      <c r="AJ252" s="55"/>
      <c r="AK252" s="1"/>
      <c r="AL252" s="438"/>
      <c r="AM252" s="438"/>
      <c r="AN252" s="438"/>
      <c r="AO252" s="438"/>
      <c r="AP252" s="438"/>
      <c r="AQ252" s="438"/>
      <c r="AR252" s="438"/>
      <c r="AS252" s="438"/>
      <c r="AT252" s="29"/>
      <c r="AU252" s="30"/>
      <c r="AV252" s="30"/>
      <c r="AW252" s="30"/>
      <c r="AX252" s="30"/>
    </row>
    <row r="253" spans="1:50" ht="11.25" customHeight="1">
      <c r="A253" s="1"/>
      <c r="B253" s="442"/>
      <c r="C253" s="445"/>
      <c r="D253" s="448"/>
      <c r="E253" s="451"/>
      <c r="F253" s="454"/>
      <c r="G253" s="454"/>
      <c r="H253" s="471"/>
      <c r="I253" s="473"/>
      <c r="J253" s="473"/>
      <c r="K253" s="471"/>
      <c r="L253" s="44"/>
      <c r="M253" s="44"/>
      <c r="N253" s="478"/>
      <c r="O253" s="57">
        <f t="shared" ref="O253" si="355">O245+O249</f>
        <v>0</v>
      </c>
      <c r="P253" s="57">
        <f t="shared" ref="P253" si="356">SUM(P245:P249)</f>
        <v>0</v>
      </c>
      <c r="Q253" s="47"/>
      <c r="R253" s="47"/>
      <c r="S253" s="47"/>
      <c r="T253" s="48"/>
      <c r="U253" s="462"/>
      <c r="V253" s="462"/>
      <c r="W253" s="36"/>
      <c r="X253" s="49"/>
      <c r="Y253" s="49"/>
      <c r="Z253" s="49"/>
      <c r="AA253" s="49"/>
      <c r="AB253" s="51"/>
      <c r="AC253" s="52"/>
      <c r="AD253" s="465"/>
      <c r="AE253" s="53"/>
      <c r="AF253" s="59"/>
      <c r="AG253" s="60"/>
      <c r="AH253" s="468"/>
      <c r="AI253" s="468"/>
      <c r="AJ253" s="55"/>
      <c r="AK253" s="1"/>
      <c r="AL253" s="438"/>
      <c r="AM253" s="438"/>
      <c r="AN253" s="438"/>
      <c r="AO253" s="438"/>
      <c r="AP253" s="438"/>
      <c r="AQ253" s="438"/>
      <c r="AR253" s="438"/>
      <c r="AS253" s="438"/>
      <c r="AT253" s="29"/>
      <c r="AU253" s="30"/>
      <c r="AV253" s="30"/>
      <c r="AW253" s="30"/>
      <c r="AX253" s="30"/>
    </row>
    <row r="254" spans="1:50" ht="11.25" customHeight="1">
      <c r="A254" s="1"/>
      <c r="B254" s="443"/>
      <c r="C254" s="446"/>
      <c r="D254" s="449"/>
      <c r="E254" s="452"/>
      <c r="F254" s="455"/>
      <c r="G254" s="455"/>
      <c r="H254" s="472"/>
      <c r="I254" s="474"/>
      <c r="J254" s="474"/>
      <c r="K254" s="472"/>
      <c r="L254" s="61"/>
      <c r="M254" s="61"/>
      <c r="N254" s="477"/>
      <c r="O254" s="62"/>
      <c r="P254" s="62"/>
      <c r="Q254" s="63"/>
      <c r="R254" s="63"/>
      <c r="S254" s="63"/>
      <c r="T254" s="64"/>
      <c r="U254" s="463"/>
      <c r="V254" s="463"/>
      <c r="W254" s="65"/>
      <c r="X254" s="66"/>
      <c r="Y254" s="67"/>
      <c r="Z254" s="67"/>
      <c r="AA254" s="67"/>
      <c r="AB254" s="68"/>
      <c r="AC254" s="69"/>
      <c r="AD254" s="466"/>
      <c r="AE254" s="70"/>
      <c r="AF254" s="71"/>
      <c r="AG254" s="72"/>
      <c r="AH254" s="469"/>
      <c r="AI254" s="469"/>
      <c r="AJ254" s="72"/>
      <c r="AK254" s="1"/>
      <c r="AL254" s="439"/>
      <c r="AM254" s="439"/>
      <c r="AN254" s="439"/>
      <c r="AO254" s="439"/>
      <c r="AP254" s="439"/>
      <c r="AQ254" s="439"/>
      <c r="AR254" s="439"/>
      <c r="AS254" s="439"/>
      <c r="AT254" s="29"/>
      <c r="AU254" s="30"/>
      <c r="AV254" s="30"/>
      <c r="AW254" s="30"/>
      <c r="AX254" s="30"/>
    </row>
    <row r="255" spans="1:50">
      <c r="A255" s="1"/>
      <c r="B255" s="441">
        <f>IF(B245="","",IF(B245+1&gt;$AB$3,"",B245+1))</f>
        <v>44676</v>
      </c>
      <c r="C255" s="444">
        <f>IF(C245="","",IF(C245+1&gt;$AB$3,"",C245+1))</f>
        <v>44676</v>
      </c>
      <c r="D255" s="447">
        <f>IF(C255="","",WEEKDAY(C255,1))</f>
        <v>2</v>
      </c>
      <c r="E255" s="450" t="str">
        <f>IF($D255="","",IF(NOT(ISERROR(MATCH($C255,祝日テーブル,0)=TRUE)),IF($D255=1,"法定","法定外"),IF($D255=1,"法定",IF($D255=7,"法定外",""))))</f>
        <v/>
      </c>
      <c r="F255" s="453">
        <v>900</v>
      </c>
      <c r="G255" s="453">
        <v>1745</v>
      </c>
      <c r="H255" s="470">
        <v>4.1666666666666664E-2</v>
      </c>
      <c r="I255" s="473"/>
      <c r="J255" s="473"/>
      <c r="K255" s="471"/>
      <c r="L255" s="32">
        <f t="shared" ref="L255" si="357">MOD(F255,100)+FLOOR(F255/100,1)*60</f>
        <v>540</v>
      </c>
      <c r="M255" s="32"/>
      <c r="N255" s="475"/>
      <c r="O255" s="33">
        <f t="shared" ref="O255" si="358">IF($I$3= "協力会社",M259,IF(L259&gt;=$L$12,$M$12,IF(L259&gt;0,M259,0)))</f>
        <v>0.32291666666666669</v>
      </c>
      <c r="P255" s="33">
        <f t="shared" ref="P255" si="359">SUMIF(AB255:AB264,"1.00",AC255:AC264)+SUMIF(AB255:AB264,"振休取得",AC255:AC264)</f>
        <v>0.32291666666666669</v>
      </c>
      <c r="Q255" s="34"/>
      <c r="R255" s="34"/>
      <c r="S255" s="34"/>
      <c r="T255" s="35"/>
      <c r="U255" s="462"/>
      <c r="V255" s="462"/>
      <c r="W255" s="36" t="s">
        <v>649</v>
      </c>
      <c r="X255" s="37" t="s">
        <v>608</v>
      </c>
      <c r="Y255" s="37"/>
      <c r="Z255" s="37" t="s">
        <v>650</v>
      </c>
      <c r="AA255" s="37"/>
      <c r="AB255" s="38" t="s">
        <v>121</v>
      </c>
      <c r="AC255" s="39">
        <v>0.32291666666666669</v>
      </c>
      <c r="AD255" s="464"/>
      <c r="AE255" s="40"/>
      <c r="AF255" s="41"/>
      <c r="AG255" s="42"/>
      <c r="AH255" s="467" t="s">
        <v>652</v>
      </c>
      <c r="AI255" s="467" t="s">
        <v>653</v>
      </c>
      <c r="AJ255" s="73"/>
      <c r="AK255" s="1"/>
      <c r="AL255" s="437"/>
      <c r="AM255" s="437"/>
      <c r="AN255" s="437"/>
      <c r="AO255" s="437"/>
      <c r="AP255" s="437"/>
      <c r="AQ255" s="437"/>
      <c r="AR255" s="437"/>
      <c r="AS255" s="437"/>
      <c r="AT255" s="29"/>
      <c r="AU255" s="30"/>
      <c r="AV255" s="30"/>
      <c r="AW255" s="30"/>
      <c r="AX255" s="30"/>
    </row>
    <row r="256" spans="1:50" ht="11.25" customHeight="1">
      <c r="A256" s="1"/>
      <c r="B256" s="442"/>
      <c r="C256" s="445"/>
      <c r="D256" s="448"/>
      <c r="E256" s="451"/>
      <c r="F256" s="454"/>
      <c r="G256" s="454"/>
      <c r="H256" s="471"/>
      <c r="I256" s="473"/>
      <c r="J256" s="473"/>
      <c r="K256" s="471"/>
      <c r="L256" s="44">
        <f t="shared" ref="L256" si="360">MOD(G255,100)+FLOOR(G255/100,1)*60</f>
        <v>1065</v>
      </c>
      <c r="M256" s="44"/>
      <c r="N256" s="476"/>
      <c r="O256" s="45"/>
      <c r="P256" s="46"/>
      <c r="Q256" s="47"/>
      <c r="R256" s="47"/>
      <c r="S256" s="47"/>
      <c r="T256" s="48"/>
      <c r="U256" s="462"/>
      <c r="V256" s="462"/>
      <c r="W256" s="36"/>
      <c r="X256" s="49"/>
      <c r="Y256" s="50"/>
      <c r="Z256" s="50"/>
      <c r="AA256" s="50"/>
      <c r="AB256" s="51"/>
      <c r="AC256" s="52"/>
      <c r="AD256" s="465"/>
      <c r="AE256" s="53"/>
      <c r="AF256" s="54"/>
      <c r="AG256" s="55"/>
      <c r="AH256" s="468"/>
      <c r="AI256" s="468"/>
      <c r="AJ256" s="55"/>
      <c r="AK256" s="1"/>
      <c r="AL256" s="438"/>
      <c r="AM256" s="438"/>
      <c r="AN256" s="438"/>
      <c r="AO256" s="438"/>
      <c r="AP256" s="438"/>
      <c r="AQ256" s="438"/>
      <c r="AR256" s="438"/>
      <c r="AS256" s="438"/>
      <c r="AT256" s="29"/>
      <c r="AU256" s="30"/>
      <c r="AV256" s="30"/>
      <c r="AW256" s="30"/>
      <c r="AX256" s="30"/>
    </row>
    <row r="257" spans="1:50" ht="11.25" customHeight="1">
      <c r="A257" s="1"/>
      <c r="B257" s="442"/>
      <c r="C257" s="445"/>
      <c r="D257" s="448"/>
      <c r="E257" s="451"/>
      <c r="F257" s="454"/>
      <c r="G257" s="454"/>
      <c r="H257" s="471"/>
      <c r="I257" s="473"/>
      <c r="J257" s="473"/>
      <c r="K257" s="471"/>
      <c r="L257" s="44">
        <f t="shared" ref="L257" si="361">L256-L255</f>
        <v>525</v>
      </c>
      <c r="M257" s="44"/>
      <c r="N257" s="476"/>
      <c r="O257" s="46"/>
      <c r="P257" s="45">
        <f t="shared" ref="P257" si="362">SUMIF(AB255:AB264,"有休",AC255:AC264)+SUMIF(AB255:AB264,"無給休",AC255:AC264)+SUMIF(AB255:AB264,"振休",AC255:AC264)+SUMIF(AB255:AB264,"特休",AC255:AC264)</f>
        <v>0</v>
      </c>
      <c r="Q257" s="47"/>
      <c r="R257" s="47"/>
      <c r="S257" s="47"/>
      <c r="T257" s="48"/>
      <c r="U257" s="462"/>
      <c r="V257" s="462"/>
      <c r="W257" s="36"/>
      <c r="X257" s="49"/>
      <c r="Y257" s="50"/>
      <c r="Z257" s="50"/>
      <c r="AA257" s="50"/>
      <c r="AB257" s="51"/>
      <c r="AC257" s="52"/>
      <c r="AD257" s="465"/>
      <c r="AE257" s="53"/>
      <c r="AF257" s="54"/>
      <c r="AG257" s="55"/>
      <c r="AH257" s="468"/>
      <c r="AI257" s="468"/>
      <c r="AJ257" s="54"/>
      <c r="AK257" s="1"/>
      <c r="AL257" s="438"/>
      <c r="AM257" s="438"/>
      <c r="AN257" s="438"/>
      <c r="AO257" s="438"/>
      <c r="AP257" s="438"/>
      <c r="AQ257" s="438"/>
      <c r="AR257" s="438"/>
      <c r="AS257" s="438"/>
      <c r="AT257" s="29"/>
      <c r="AU257" s="30"/>
      <c r="AV257" s="30"/>
      <c r="AW257" s="30"/>
      <c r="AX257" s="30"/>
    </row>
    <row r="258" spans="1:50" ht="11.25" customHeight="1">
      <c r="A258" s="1"/>
      <c r="B258" s="442"/>
      <c r="C258" s="445"/>
      <c r="D258" s="448"/>
      <c r="E258" s="451"/>
      <c r="F258" s="454"/>
      <c r="G258" s="454"/>
      <c r="H258" s="471"/>
      <c r="I258" s="473"/>
      <c r="J258" s="473"/>
      <c r="K258" s="471"/>
      <c r="L258" s="44">
        <f t="shared" ref="L258" si="363">ROUNDUP(L257/60,2)</f>
        <v>8.75</v>
      </c>
      <c r="M258" s="44"/>
      <c r="N258" s="476"/>
      <c r="O258" s="46"/>
      <c r="P258" s="46"/>
      <c r="Q258" s="47"/>
      <c r="R258" s="47"/>
      <c r="S258" s="47"/>
      <c r="T258" s="48"/>
      <c r="U258" s="462"/>
      <c r="V258" s="462"/>
      <c r="W258" s="36"/>
      <c r="X258" s="49"/>
      <c r="Y258" s="50"/>
      <c r="Z258" s="50"/>
      <c r="AA258" s="50"/>
      <c r="AB258" s="51"/>
      <c r="AC258" s="52"/>
      <c r="AD258" s="465"/>
      <c r="AE258" s="53"/>
      <c r="AF258" s="54"/>
      <c r="AG258" s="55"/>
      <c r="AH258" s="468"/>
      <c r="AI258" s="468"/>
      <c r="AJ258" s="55"/>
      <c r="AK258" s="1"/>
      <c r="AL258" s="438"/>
      <c r="AM258" s="438"/>
      <c r="AN258" s="438"/>
      <c r="AO258" s="438"/>
      <c r="AP258" s="438"/>
      <c r="AQ258" s="438"/>
      <c r="AR258" s="438"/>
      <c r="AS258" s="438"/>
      <c r="AT258" s="29"/>
      <c r="AU258" s="30"/>
      <c r="AV258" s="30"/>
      <c r="AW258" s="30"/>
      <c r="AX258" s="30"/>
    </row>
    <row r="259" spans="1:50" ht="11.25" customHeight="1">
      <c r="A259" s="1"/>
      <c r="B259" s="442"/>
      <c r="C259" s="445"/>
      <c r="D259" s="448"/>
      <c r="E259" s="451"/>
      <c r="F259" s="454"/>
      <c r="G259" s="454"/>
      <c r="H259" s="471"/>
      <c r="I259" s="473"/>
      <c r="J259" s="473"/>
      <c r="K259" s="471"/>
      <c r="L259" s="44">
        <f t="shared" ref="L259" si="364">IF(L258&gt;0,L258-HOUR(H255)-MINUTE(H255)/60,0)</f>
        <v>7.75</v>
      </c>
      <c r="M259" s="56">
        <f t="shared" ref="M259" si="365">TIME(L259-MOD(L259,1),MOD(L259,1)*60,0)</f>
        <v>0.32291666666666669</v>
      </c>
      <c r="N259" s="476"/>
      <c r="O259" s="45">
        <f t="shared" ref="O259" si="366">M261</f>
        <v>0</v>
      </c>
      <c r="P259" s="45">
        <f t="shared" ref="P259" si="367">SUMIF(AB255:AB264,"1.25",AC255:AC264)+SUMIF(AB255:AB264,"他時間外",AC255:AC264)+SUMIF(AB255:AB264,"1.35",AC255:AC264)</f>
        <v>0</v>
      </c>
      <c r="Q259" s="47"/>
      <c r="R259" s="47"/>
      <c r="S259" s="47"/>
      <c r="T259" s="48"/>
      <c r="U259" s="462"/>
      <c r="V259" s="462"/>
      <c r="W259" s="36"/>
      <c r="X259" s="49"/>
      <c r="Y259" s="50"/>
      <c r="Z259" s="50"/>
      <c r="AA259" s="50"/>
      <c r="AB259" s="51"/>
      <c r="AC259" s="52"/>
      <c r="AD259" s="465"/>
      <c r="AE259" s="53"/>
      <c r="AF259" s="54"/>
      <c r="AG259" s="55"/>
      <c r="AH259" s="468"/>
      <c r="AI259" s="468"/>
      <c r="AJ259" s="55"/>
      <c r="AK259" s="1"/>
      <c r="AL259" s="438"/>
      <c r="AM259" s="438"/>
      <c r="AN259" s="438"/>
      <c r="AO259" s="438"/>
      <c r="AP259" s="438"/>
      <c r="AQ259" s="438"/>
      <c r="AR259" s="438"/>
      <c r="AS259" s="438"/>
      <c r="AT259" s="29"/>
      <c r="AU259" s="30"/>
      <c r="AV259" s="30"/>
      <c r="AW259" s="30"/>
      <c r="AX259" s="30"/>
    </row>
    <row r="260" spans="1:50" ht="11.25" customHeight="1">
      <c r="A260" s="1"/>
      <c r="B260" s="442"/>
      <c r="C260" s="445"/>
      <c r="D260" s="448"/>
      <c r="E260" s="451"/>
      <c r="F260" s="454"/>
      <c r="G260" s="454"/>
      <c r="H260" s="471"/>
      <c r="I260" s="473"/>
      <c r="J260" s="473"/>
      <c r="K260" s="471"/>
      <c r="L260" s="44">
        <f t="shared" ref="L260" si="368">L259-$L$12</f>
        <v>0</v>
      </c>
      <c r="M260" s="44"/>
      <c r="N260" s="476"/>
      <c r="O260" s="46"/>
      <c r="P260" s="46"/>
      <c r="Q260" s="47"/>
      <c r="R260" s="47"/>
      <c r="S260" s="47"/>
      <c r="T260" s="48"/>
      <c r="U260" s="462"/>
      <c r="V260" s="462"/>
      <c r="W260" s="36"/>
      <c r="X260" s="49"/>
      <c r="Y260" s="50"/>
      <c r="Z260" s="50"/>
      <c r="AA260" s="50"/>
      <c r="AB260" s="51"/>
      <c r="AC260" s="52"/>
      <c r="AD260" s="465"/>
      <c r="AE260" s="53"/>
      <c r="AF260" s="54"/>
      <c r="AG260" s="55"/>
      <c r="AH260" s="468"/>
      <c r="AI260" s="468"/>
      <c r="AJ260" s="55"/>
      <c r="AK260" s="1"/>
      <c r="AL260" s="438"/>
      <c r="AM260" s="438"/>
      <c r="AN260" s="438"/>
      <c r="AO260" s="438"/>
      <c r="AP260" s="438"/>
      <c r="AQ260" s="438"/>
      <c r="AR260" s="438"/>
      <c r="AS260" s="438"/>
      <c r="AT260" s="29"/>
      <c r="AU260" s="30"/>
      <c r="AV260" s="30"/>
      <c r="AW260" s="30"/>
      <c r="AX260" s="30"/>
    </row>
    <row r="261" spans="1:50" ht="11.25" customHeight="1">
      <c r="A261" s="1"/>
      <c r="B261" s="442"/>
      <c r="C261" s="445"/>
      <c r="D261" s="448"/>
      <c r="E261" s="451"/>
      <c r="F261" s="454"/>
      <c r="G261" s="454"/>
      <c r="H261" s="471"/>
      <c r="I261" s="473"/>
      <c r="J261" s="473"/>
      <c r="K261" s="471"/>
      <c r="L261" s="44">
        <f t="shared" ref="L261" si="369">IF($I$3= "協力会社",0,IF(L260&gt;0,L260,0))</f>
        <v>0</v>
      </c>
      <c r="M261" s="56">
        <f t="shared" ref="M261" si="370">TIME(L261-MOD(L261,1),MOD(L261,1)*60,0)</f>
        <v>0</v>
      </c>
      <c r="N261" s="476"/>
      <c r="O261" s="46"/>
      <c r="P261" s="45">
        <f t="shared" ref="P261" si="371">SUMIF(AB255:AB264,"0.25深夜",AC255:AC264)</f>
        <v>0</v>
      </c>
      <c r="Q261" s="47"/>
      <c r="R261" s="47"/>
      <c r="S261" s="47"/>
      <c r="T261" s="48"/>
      <c r="U261" s="462"/>
      <c r="V261" s="462"/>
      <c r="W261" s="36"/>
      <c r="X261" s="49"/>
      <c r="Y261" s="50"/>
      <c r="Z261" s="50"/>
      <c r="AA261" s="50"/>
      <c r="AB261" s="51"/>
      <c r="AC261" s="52"/>
      <c r="AD261" s="465"/>
      <c r="AE261" s="53"/>
      <c r="AF261" s="54"/>
      <c r="AG261" s="55"/>
      <c r="AH261" s="468"/>
      <c r="AI261" s="468"/>
      <c r="AJ261" s="55"/>
      <c r="AK261" s="1"/>
      <c r="AL261" s="438"/>
      <c r="AM261" s="438"/>
      <c r="AN261" s="438"/>
      <c r="AO261" s="438"/>
      <c r="AP261" s="438"/>
      <c r="AQ261" s="438"/>
      <c r="AR261" s="438"/>
      <c r="AS261" s="438"/>
      <c r="AT261" s="29"/>
      <c r="AU261" s="30"/>
      <c r="AV261" s="30"/>
      <c r="AW261" s="30"/>
      <c r="AX261" s="30"/>
    </row>
    <row r="262" spans="1:50" ht="11.25" customHeight="1">
      <c r="A262" s="1"/>
      <c r="B262" s="442"/>
      <c r="C262" s="445"/>
      <c r="D262" s="448"/>
      <c r="E262" s="451"/>
      <c r="F262" s="454"/>
      <c r="G262" s="454"/>
      <c r="H262" s="471"/>
      <c r="I262" s="473"/>
      <c r="J262" s="473"/>
      <c r="K262" s="471"/>
      <c r="L262" s="44"/>
      <c r="M262" s="44"/>
      <c r="N262" s="476"/>
      <c r="O262" s="46"/>
      <c r="P262" s="46"/>
      <c r="Q262" s="47"/>
      <c r="R262" s="47"/>
      <c r="S262" s="47"/>
      <c r="T262" s="48"/>
      <c r="U262" s="462"/>
      <c r="V262" s="462"/>
      <c r="W262" s="36"/>
      <c r="X262" s="49"/>
      <c r="Y262" s="50"/>
      <c r="Z262" s="50"/>
      <c r="AA262" s="50"/>
      <c r="AB262" s="51"/>
      <c r="AC262" s="52"/>
      <c r="AD262" s="465"/>
      <c r="AE262" s="53"/>
      <c r="AF262" s="54"/>
      <c r="AG262" s="55"/>
      <c r="AH262" s="468"/>
      <c r="AI262" s="468"/>
      <c r="AJ262" s="55"/>
      <c r="AK262" s="1"/>
      <c r="AL262" s="438"/>
      <c r="AM262" s="438"/>
      <c r="AN262" s="438"/>
      <c r="AO262" s="438"/>
      <c r="AP262" s="438"/>
      <c r="AQ262" s="438"/>
      <c r="AR262" s="438"/>
      <c r="AS262" s="438"/>
      <c r="AT262" s="29"/>
      <c r="AU262" s="30"/>
      <c r="AV262" s="30"/>
      <c r="AW262" s="30"/>
      <c r="AX262" s="30"/>
    </row>
    <row r="263" spans="1:50" ht="11.25" customHeight="1">
      <c r="A263" s="1"/>
      <c r="B263" s="442"/>
      <c r="C263" s="445"/>
      <c r="D263" s="448"/>
      <c r="E263" s="451"/>
      <c r="F263" s="454"/>
      <c r="G263" s="454"/>
      <c r="H263" s="471"/>
      <c r="I263" s="473"/>
      <c r="J263" s="473"/>
      <c r="K263" s="471"/>
      <c r="L263" s="44"/>
      <c r="M263" s="44"/>
      <c r="N263" s="478"/>
      <c r="O263" s="57">
        <f t="shared" ref="O263" si="372">O255+O259</f>
        <v>0.32291666666666669</v>
      </c>
      <c r="P263" s="57">
        <f t="shared" ref="P263" si="373">SUM(P255:P259)</f>
        <v>0.32291666666666669</v>
      </c>
      <c r="Q263" s="47"/>
      <c r="R263" s="47"/>
      <c r="S263" s="47"/>
      <c r="T263" s="48"/>
      <c r="U263" s="462"/>
      <c r="V263" s="462"/>
      <c r="W263" s="36"/>
      <c r="X263" s="49"/>
      <c r="Y263" s="49"/>
      <c r="Z263" s="49"/>
      <c r="AA263" s="49"/>
      <c r="AB263" s="51"/>
      <c r="AC263" s="52"/>
      <c r="AD263" s="465"/>
      <c r="AE263" s="53"/>
      <c r="AF263" s="59"/>
      <c r="AG263" s="60"/>
      <c r="AH263" s="468"/>
      <c r="AI263" s="468"/>
      <c r="AJ263" s="55"/>
      <c r="AK263" s="1"/>
      <c r="AL263" s="438"/>
      <c r="AM263" s="438"/>
      <c r="AN263" s="438"/>
      <c r="AO263" s="438"/>
      <c r="AP263" s="438"/>
      <c r="AQ263" s="438"/>
      <c r="AR263" s="438"/>
      <c r="AS263" s="438"/>
      <c r="AT263" s="29"/>
      <c r="AU263" s="30"/>
      <c r="AV263" s="30"/>
      <c r="AW263" s="30"/>
      <c r="AX263" s="30"/>
    </row>
    <row r="264" spans="1:50" ht="11.25" customHeight="1">
      <c r="A264" s="1"/>
      <c r="B264" s="443"/>
      <c r="C264" s="446"/>
      <c r="D264" s="449"/>
      <c r="E264" s="452"/>
      <c r="F264" s="455"/>
      <c r="G264" s="455"/>
      <c r="H264" s="472"/>
      <c r="I264" s="474"/>
      <c r="J264" s="474"/>
      <c r="K264" s="472"/>
      <c r="L264" s="61"/>
      <c r="M264" s="61"/>
      <c r="N264" s="477"/>
      <c r="O264" s="62"/>
      <c r="P264" s="62"/>
      <c r="Q264" s="63"/>
      <c r="R264" s="63"/>
      <c r="S264" s="63"/>
      <c r="T264" s="64"/>
      <c r="U264" s="463"/>
      <c r="V264" s="463"/>
      <c r="W264" s="65"/>
      <c r="X264" s="66"/>
      <c r="Y264" s="67"/>
      <c r="Z264" s="67"/>
      <c r="AA264" s="67"/>
      <c r="AB264" s="68"/>
      <c r="AC264" s="69"/>
      <c r="AD264" s="466"/>
      <c r="AE264" s="70"/>
      <c r="AF264" s="71"/>
      <c r="AG264" s="72"/>
      <c r="AH264" s="469"/>
      <c r="AI264" s="469"/>
      <c r="AJ264" s="72"/>
      <c r="AK264" s="1"/>
      <c r="AL264" s="439"/>
      <c r="AM264" s="439"/>
      <c r="AN264" s="439"/>
      <c r="AO264" s="439"/>
      <c r="AP264" s="439"/>
      <c r="AQ264" s="439"/>
      <c r="AR264" s="439"/>
      <c r="AS264" s="439"/>
      <c r="AT264" s="29"/>
      <c r="AU264" s="30"/>
      <c r="AV264" s="30"/>
      <c r="AW264" s="30"/>
      <c r="AX264" s="30"/>
    </row>
    <row r="265" spans="1:50" ht="11.25" customHeight="1">
      <c r="A265" s="1"/>
      <c r="B265" s="441">
        <f>IF(B255="","",IF(B255+1&gt;$AB$3,"",B255+1))</f>
        <v>44677</v>
      </c>
      <c r="C265" s="444">
        <f>IF(C255="","",IF(C255+1&gt;$AB$3,"",C255+1))</f>
        <v>44677</v>
      </c>
      <c r="D265" s="447">
        <f>IF(C265="","",WEEKDAY(C265,1))</f>
        <v>3</v>
      </c>
      <c r="E265" s="450" t="str">
        <f>IF($D265="","",IF(NOT(ISERROR(MATCH($C265,祝日テーブル,0)=TRUE)),IF($D265=1,"法定","法定外"),IF($D265=1,"法定",IF($D265=7,"法定外",""))))</f>
        <v/>
      </c>
      <c r="F265" s="453">
        <v>800</v>
      </c>
      <c r="G265" s="453">
        <v>1700</v>
      </c>
      <c r="H265" s="470">
        <v>4.1666666666666664E-2</v>
      </c>
      <c r="I265" s="473"/>
      <c r="J265" s="473"/>
      <c r="K265" s="471"/>
      <c r="L265" s="32">
        <f t="shared" ref="L265" si="374">MOD(F265,100)+FLOOR(F265/100,1)*60</f>
        <v>480</v>
      </c>
      <c r="M265" s="32"/>
      <c r="N265" s="475"/>
      <c r="O265" s="33">
        <f t="shared" ref="O265" si="375">IF($I$3= "協力会社",M269,IF(L269&gt;=$L$12,$M$12,IF(L269&gt;0,M269,0)))</f>
        <v>0.33333333333333331</v>
      </c>
      <c r="P265" s="33">
        <f t="shared" ref="P265" si="376">SUMIF(AB265:AB274,"1.00",AC265:AC274)+SUMIF(AB265:AB274,"振休取得",AC265:AC274)</f>
        <v>0.33333333333333331</v>
      </c>
      <c r="Q265" s="34"/>
      <c r="R265" s="34"/>
      <c r="S265" s="34"/>
      <c r="T265" s="35"/>
      <c r="U265" s="462"/>
      <c r="V265" s="462"/>
      <c r="W265" s="36" t="s">
        <v>649</v>
      </c>
      <c r="X265" s="37" t="s">
        <v>608</v>
      </c>
      <c r="Y265" s="37"/>
      <c r="Z265" s="37" t="s">
        <v>650</v>
      </c>
      <c r="AA265" s="37"/>
      <c r="AB265" s="38" t="s">
        <v>121</v>
      </c>
      <c r="AC265" s="39">
        <v>0.33333333333333331</v>
      </c>
      <c r="AD265" s="464"/>
      <c r="AE265" s="40"/>
      <c r="AF265" s="41"/>
      <c r="AG265" s="42"/>
      <c r="AH265" s="467" t="s">
        <v>652</v>
      </c>
      <c r="AI265" s="467" t="s">
        <v>653</v>
      </c>
      <c r="AJ265" s="73"/>
      <c r="AK265" s="1"/>
      <c r="AL265" s="437"/>
      <c r="AM265" s="437"/>
      <c r="AN265" s="437"/>
      <c r="AO265" s="437"/>
      <c r="AP265" s="437"/>
      <c r="AQ265" s="437"/>
      <c r="AR265" s="437"/>
      <c r="AS265" s="437"/>
      <c r="AT265" s="29"/>
      <c r="AU265" s="30"/>
      <c r="AV265" s="30"/>
      <c r="AW265" s="30"/>
      <c r="AX265" s="30"/>
    </row>
    <row r="266" spans="1:50" ht="11.25" customHeight="1">
      <c r="A266" s="1"/>
      <c r="B266" s="442"/>
      <c r="C266" s="445"/>
      <c r="D266" s="448"/>
      <c r="E266" s="451"/>
      <c r="F266" s="454"/>
      <c r="G266" s="454"/>
      <c r="H266" s="471"/>
      <c r="I266" s="473"/>
      <c r="J266" s="473"/>
      <c r="K266" s="471"/>
      <c r="L266" s="44">
        <f t="shared" ref="L266" si="377">MOD(G265,100)+FLOOR(G265/100,1)*60</f>
        <v>1020</v>
      </c>
      <c r="M266" s="44"/>
      <c r="N266" s="476"/>
      <c r="O266" s="45"/>
      <c r="P266" s="46"/>
      <c r="Q266" s="47"/>
      <c r="R266" s="47"/>
      <c r="S266" s="47"/>
      <c r="T266" s="48"/>
      <c r="U266" s="462"/>
      <c r="V266" s="462"/>
      <c r="W266" s="36"/>
      <c r="X266" s="49"/>
      <c r="Y266" s="50"/>
      <c r="Z266" s="50"/>
      <c r="AA266" s="50"/>
      <c r="AB266" s="51"/>
      <c r="AC266" s="52"/>
      <c r="AD266" s="465"/>
      <c r="AE266" s="53"/>
      <c r="AF266" s="54"/>
      <c r="AG266" s="55"/>
      <c r="AH266" s="468"/>
      <c r="AI266" s="468"/>
      <c r="AJ266" s="55"/>
      <c r="AK266" s="1"/>
      <c r="AL266" s="438"/>
      <c r="AM266" s="438"/>
      <c r="AN266" s="438"/>
      <c r="AO266" s="438"/>
      <c r="AP266" s="438"/>
      <c r="AQ266" s="438"/>
      <c r="AR266" s="438"/>
      <c r="AS266" s="438"/>
      <c r="AT266" s="29"/>
      <c r="AU266" s="30"/>
      <c r="AV266" s="30"/>
      <c r="AW266" s="30"/>
      <c r="AX266" s="30"/>
    </row>
    <row r="267" spans="1:50" ht="11.25" customHeight="1">
      <c r="A267" s="1"/>
      <c r="B267" s="442"/>
      <c r="C267" s="445"/>
      <c r="D267" s="448"/>
      <c r="E267" s="451"/>
      <c r="F267" s="454"/>
      <c r="G267" s="454"/>
      <c r="H267" s="471"/>
      <c r="I267" s="473"/>
      <c r="J267" s="473"/>
      <c r="K267" s="471"/>
      <c r="L267" s="44">
        <f t="shared" ref="L267" si="378">L266-L265</f>
        <v>540</v>
      </c>
      <c r="M267" s="44"/>
      <c r="N267" s="476"/>
      <c r="O267" s="46"/>
      <c r="P267" s="45">
        <f t="shared" ref="P267" si="379">SUMIF(AB265:AB274,"有休",AC265:AC274)+SUMIF(AB265:AB274,"無給休",AC265:AC274)+SUMIF(AB265:AB274,"振休",AC265:AC274)+SUMIF(AB265:AB274,"特休",AC265:AC274)</f>
        <v>0</v>
      </c>
      <c r="Q267" s="47"/>
      <c r="R267" s="47"/>
      <c r="S267" s="47"/>
      <c r="T267" s="48"/>
      <c r="U267" s="462"/>
      <c r="V267" s="462"/>
      <c r="W267" s="36"/>
      <c r="X267" s="49"/>
      <c r="Y267" s="50"/>
      <c r="Z267" s="50"/>
      <c r="AA267" s="50"/>
      <c r="AB267" s="51"/>
      <c r="AC267" s="52"/>
      <c r="AD267" s="465"/>
      <c r="AE267" s="53"/>
      <c r="AF267" s="54"/>
      <c r="AG267" s="55"/>
      <c r="AH267" s="468"/>
      <c r="AI267" s="468"/>
      <c r="AJ267" s="54"/>
      <c r="AK267" s="1"/>
      <c r="AL267" s="438"/>
      <c r="AM267" s="438"/>
      <c r="AN267" s="438"/>
      <c r="AO267" s="438"/>
      <c r="AP267" s="438"/>
      <c r="AQ267" s="438"/>
      <c r="AR267" s="438"/>
      <c r="AS267" s="438"/>
      <c r="AT267" s="29"/>
      <c r="AU267" s="30"/>
      <c r="AV267" s="30"/>
      <c r="AW267" s="30"/>
      <c r="AX267" s="30"/>
    </row>
    <row r="268" spans="1:50" ht="11.25" customHeight="1">
      <c r="A268" s="1"/>
      <c r="B268" s="442"/>
      <c r="C268" s="445"/>
      <c r="D268" s="448"/>
      <c r="E268" s="451"/>
      <c r="F268" s="454"/>
      <c r="G268" s="454"/>
      <c r="H268" s="471"/>
      <c r="I268" s="473"/>
      <c r="J268" s="473"/>
      <c r="K268" s="471"/>
      <c r="L268" s="44">
        <f t="shared" ref="L268" si="380">ROUNDUP(L267/60,2)</f>
        <v>9</v>
      </c>
      <c r="M268" s="44"/>
      <c r="N268" s="476"/>
      <c r="O268" s="46"/>
      <c r="P268" s="46"/>
      <c r="Q268" s="47"/>
      <c r="R268" s="47"/>
      <c r="S268" s="47"/>
      <c r="T268" s="48"/>
      <c r="U268" s="462"/>
      <c r="V268" s="462"/>
      <c r="W268" s="36"/>
      <c r="X268" s="49"/>
      <c r="Y268" s="50"/>
      <c r="Z268" s="50"/>
      <c r="AA268" s="50"/>
      <c r="AB268" s="51"/>
      <c r="AC268" s="52"/>
      <c r="AD268" s="465"/>
      <c r="AE268" s="53"/>
      <c r="AF268" s="54"/>
      <c r="AG268" s="55"/>
      <c r="AH268" s="468"/>
      <c r="AI268" s="468"/>
      <c r="AJ268" s="55"/>
      <c r="AK268" s="1"/>
      <c r="AL268" s="438"/>
      <c r="AM268" s="438"/>
      <c r="AN268" s="438"/>
      <c r="AO268" s="438"/>
      <c r="AP268" s="438"/>
      <c r="AQ268" s="438"/>
      <c r="AR268" s="438"/>
      <c r="AS268" s="438"/>
      <c r="AT268" s="29"/>
      <c r="AU268" s="30"/>
      <c r="AV268" s="30"/>
      <c r="AW268" s="30"/>
      <c r="AX268" s="30"/>
    </row>
    <row r="269" spans="1:50" ht="11.25" customHeight="1">
      <c r="A269" s="1"/>
      <c r="B269" s="442"/>
      <c r="C269" s="445"/>
      <c r="D269" s="448"/>
      <c r="E269" s="451"/>
      <c r="F269" s="454"/>
      <c r="G269" s="454"/>
      <c r="H269" s="471"/>
      <c r="I269" s="473"/>
      <c r="J269" s="473"/>
      <c r="K269" s="471"/>
      <c r="L269" s="44">
        <f t="shared" ref="L269" si="381">IF(L268&gt;0,L268-HOUR(H265)-MINUTE(H265)/60,0)</f>
        <v>8</v>
      </c>
      <c r="M269" s="56">
        <f t="shared" ref="M269" si="382">TIME(L269-MOD(L269,1),MOD(L269,1)*60,0)</f>
        <v>0.33333333333333331</v>
      </c>
      <c r="N269" s="476"/>
      <c r="O269" s="45">
        <f t="shared" ref="O269" si="383">M271</f>
        <v>0</v>
      </c>
      <c r="P269" s="45">
        <f t="shared" ref="P269" si="384">SUMIF(AB265:AB274,"1.25",AC265:AC274)+SUMIF(AB265:AB274,"他時間外",AC265:AC274)+SUMIF(AB265:AB274,"1.35",AC265:AC274)</f>
        <v>0</v>
      </c>
      <c r="Q269" s="47"/>
      <c r="R269" s="47"/>
      <c r="S269" s="47"/>
      <c r="T269" s="48"/>
      <c r="U269" s="462"/>
      <c r="V269" s="462"/>
      <c r="W269" s="36"/>
      <c r="X269" s="49"/>
      <c r="Y269" s="50"/>
      <c r="Z269" s="50"/>
      <c r="AA269" s="50"/>
      <c r="AB269" s="51"/>
      <c r="AC269" s="52"/>
      <c r="AD269" s="465"/>
      <c r="AE269" s="53"/>
      <c r="AF269" s="54"/>
      <c r="AG269" s="55"/>
      <c r="AH269" s="468"/>
      <c r="AI269" s="468"/>
      <c r="AJ269" s="55"/>
      <c r="AK269" s="1"/>
      <c r="AL269" s="438"/>
      <c r="AM269" s="438"/>
      <c r="AN269" s="438"/>
      <c r="AO269" s="438"/>
      <c r="AP269" s="438"/>
      <c r="AQ269" s="438"/>
      <c r="AR269" s="438"/>
      <c r="AS269" s="438"/>
      <c r="AT269" s="29"/>
      <c r="AU269" s="30"/>
      <c r="AV269" s="30"/>
      <c r="AW269" s="30"/>
      <c r="AX269" s="30"/>
    </row>
    <row r="270" spans="1:50" ht="11.25" customHeight="1">
      <c r="A270" s="1"/>
      <c r="B270" s="442"/>
      <c r="C270" s="445"/>
      <c r="D270" s="448"/>
      <c r="E270" s="451"/>
      <c r="F270" s="454"/>
      <c r="G270" s="454"/>
      <c r="H270" s="471"/>
      <c r="I270" s="473"/>
      <c r="J270" s="473"/>
      <c r="K270" s="471"/>
      <c r="L270" s="44">
        <f t="shared" ref="L270" si="385">L269-$L$12</f>
        <v>0.25</v>
      </c>
      <c r="M270" s="44"/>
      <c r="N270" s="476"/>
      <c r="O270" s="46"/>
      <c r="P270" s="46"/>
      <c r="Q270" s="47"/>
      <c r="R270" s="47"/>
      <c r="S270" s="47"/>
      <c r="T270" s="48"/>
      <c r="U270" s="462"/>
      <c r="V270" s="462"/>
      <c r="W270" s="36"/>
      <c r="X270" s="49"/>
      <c r="Y270" s="50"/>
      <c r="Z270" s="50"/>
      <c r="AA270" s="50"/>
      <c r="AB270" s="51"/>
      <c r="AC270" s="52"/>
      <c r="AD270" s="465"/>
      <c r="AE270" s="53"/>
      <c r="AF270" s="54"/>
      <c r="AG270" s="55"/>
      <c r="AH270" s="468"/>
      <c r="AI270" s="468"/>
      <c r="AJ270" s="55"/>
      <c r="AK270" s="1"/>
      <c r="AL270" s="438"/>
      <c r="AM270" s="438"/>
      <c r="AN270" s="438"/>
      <c r="AO270" s="438"/>
      <c r="AP270" s="438"/>
      <c r="AQ270" s="438"/>
      <c r="AR270" s="438"/>
      <c r="AS270" s="438"/>
      <c r="AT270" s="29"/>
      <c r="AU270" s="30"/>
      <c r="AV270" s="30"/>
      <c r="AW270" s="30"/>
      <c r="AX270" s="30"/>
    </row>
    <row r="271" spans="1:50" ht="11.25" customHeight="1">
      <c r="A271" s="1"/>
      <c r="B271" s="442"/>
      <c r="C271" s="445"/>
      <c r="D271" s="448"/>
      <c r="E271" s="451"/>
      <c r="F271" s="454"/>
      <c r="G271" s="454"/>
      <c r="H271" s="471"/>
      <c r="I271" s="473"/>
      <c r="J271" s="473"/>
      <c r="K271" s="471"/>
      <c r="L271" s="44">
        <f t="shared" ref="L271" si="386">IF($I$3= "協力会社",0,IF(L270&gt;0,L270,0))</f>
        <v>0</v>
      </c>
      <c r="M271" s="56">
        <f t="shared" ref="M271" si="387">TIME(L271-MOD(L271,1),MOD(L271,1)*60,0)</f>
        <v>0</v>
      </c>
      <c r="N271" s="476"/>
      <c r="O271" s="46"/>
      <c r="P271" s="45">
        <f t="shared" ref="P271" si="388">SUMIF(AB265:AB274,"0.25深夜",AC265:AC274)</f>
        <v>0</v>
      </c>
      <c r="Q271" s="47"/>
      <c r="R271" s="47"/>
      <c r="S271" s="47"/>
      <c r="T271" s="48"/>
      <c r="U271" s="462"/>
      <c r="V271" s="462"/>
      <c r="W271" s="36"/>
      <c r="X271" s="49"/>
      <c r="Y271" s="50"/>
      <c r="Z271" s="50"/>
      <c r="AA271" s="50"/>
      <c r="AB271" s="51"/>
      <c r="AC271" s="52"/>
      <c r="AD271" s="465"/>
      <c r="AE271" s="53"/>
      <c r="AF271" s="54"/>
      <c r="AG271" s="55"/>
      <c r="AH271" s="468"/>
      <c r="AI271" s="468"/>
      <c r="AJ271" s="55"/>
      <c r="AK271" s="1"/>
      <c r="AL271" s="438"/>
      <c r="AM271" s="438"/>
      <c r="AN271" s="438"/>
      <c r="AO271" s="438"/>
      <c r="AP271" s="438"/>
      <c r="AQ271" s="438"/>
      <c r="AR271" s="438"/>
      <c r="AS271" s="438"/>
      <c r="AT271" s="29"/>
      <c r="AU271" s="30"/>
      <c r="AV271" s="30"/>
      <c r="AW271" s="30"/>
      <c r="AX271" s="30"/>
    </row>
    <row r="272" spans="1:50" ht="11.25" customHeight="1">
      <c r="A272" s="1"/>
      <c r="B272" s="442"/>
      <c r="C272" s="445"/>
      <c r="D272" s="448"/>
      <c r="E272" s="451"/>
      <c r="F272" s="454"/>
      <c r="G272" s="454"/>
      <c r="H272" s="471"/>
      <c r="I272" s="473"/>
      <c r="J272" s="473"/>
      <c r="K272" s="471"/>
      <c r="L272" s="44"/>
      <c r="M272" s="44"/>
      <c r="N272" s="476"/>
      <c r="O272" s="46"/>
      <c r="P272" s="46"/>
      <c r="Q272" s="47"/>
      <c r="R272" s="47"/>
      <c r="S272" s="47"/>
      <c r="T272" s="48"/>
      <c r="U272" s="462"/>
      <c r="V272" s="462"/>
      <c r="W272" s="36"/>
      <c r="X272" s="49"/>
      <c r="Y272" s="50"/>
      <c r="Z272" s="50"/>
      <c r="AA272" s="50"/>
      <c r="AB272" s="51"/>
      <c r="AC272" s="52"/>
      <c r="AD272" s="465"/>
      <c r="AE272" s="53"/>
      <c r="AF272" s="54"/>
      <c r="AG272" s="55"/>
      <c r="AH272" s="468"/>
      <c r="AI272" s="468"/>
      <c r="AJ272" s="55"/>
      <c r="AK272" s="1"/>
      <c r="AL272" s="438"/>
      <c r="AM272" s="438"/>
      <c r="AN272" s="438"/>
      <c r="AO272" s="438"/>
      <c r="AP272" s="438"/>
      <c r="AQ272" s="438"/>
      <c r="AR272" s="438"/>
      <c r="AS272" s="438"/>
      <c r="AT272" s="29"/>
      <c r="AU272" s="30"/>
      <c r="AV272" s="30"/>
      <c r="AW272" s="30"/>
      <c r="AX272" s="30"/>
    </row>
    <row r="273" spans="1:50" ht="11.25" customHeight="1">
      <c r="A273" s="1"/>
      <c r="B273" s="442"/>
      <c r="C273" s="445"/>
      <c r="D273" s="448"/>
      <c r="E273" s="451"/>
      <c r="F273" s="454"/>
      <c r="G273" s="454"/>
      <c r="H273" s="471"/>
      <c r="I273" s="473"/>
      <c r="J273" s="473"/>
      <c r="K273" s="471"/>
      <c r="L273" s="44"/>
      <c r="M273" s="44"/>
      <c r="N273" s="478"/>
      <c r="O273" s="57">
        <f t="shared" ref="O273" si="389">O265+O269</f>
        <v>0.33333333333333331</v>
      </c>
      <c r="P273" s="57">
        <f t="shared" ref="P273" si="390">SUM(P265:P269)</f>
        <v>0.33333333333333331</v>
      </c>
      <c r="Q273" s="47"/>
      <c r="R273" s="47"/>
      <c r="S273" s="47"/>
      <c r="T273" s="48"/>
      <c r="U273" s="462"/>
      <c r="V273" s="462"/>
      <c r="W273" s="36"/>
      <c r="X273" s="49"/>
      <c r="Y273" s="49"/>
      <c r="Z273" s="49"/>
      <c r="AA273" s="49"/>
      <c r="AB273" s="51"/>
      <c r="AC273" s="52"/>
      <c r="AD273" s="465"/>
      <c r="AE273" s="53"/>
      <c r="AF273" s="59"/>
      <c r="AG273" s="60"/>
      <c r="AH273" s="468"/>
      <c r="AI273" s="468"/>
      <c r="AJ273" s="55"/>
      <c r="AK273" s="1"/>
      <c r="AL273" s="438"/>
      <c r="AM273" s="438"/>
      <c r="AN273" s="438"/>
      <c r="AO273" s="438"/>
      <c r="AP273" s="438"/>
      <c r="AQ273" s="438"/>
      <c r="AR273" s="438"/>
      <c r="AS273" s="438"/>
      <c r="AT273" s="29"/>
      <c r="AU273" s="30"/>
      <c r="AV273" s="30"/>
      <c r="AW273" s="30"/>
      <c r="AX273" s="30"/>
    </row>
    <row r="274" spans="1:50" ht="11.25" customHeight="1">
      <c r="A274" s="1"/>
      <c r="B274" s="443"/>
      <c r="C274" s="446"/>
      <c r="D274" s="449"/>
      <c r="E274" s="452"/>
      <c r="F274" s="455"/>
      <c r="G274" s="455"/>
      <c r="H274" s="472"/>
      <c r="I274" s="474"/>
      <c r="J274" s="474"/>
      <c r="K274" s="472"/>
      <c r="L274" s="61"/>
      <c r="M274" s="61"/>
      <c r="N274" s="477"/>
      <c r="O274" s="62"/>
      <c r="P274" s="62"/>
      <c r="Q274" s="63"/>
      <c r="R274" s="63"/>
      <c r="S274" s="63"/>
      <c r="T274" s="64"/>
      <c r="U274" s="463"/>
      <c r="V274" s="463"/>
      <c r="W274" s="65"/>
      <c r="X274" s="66"/>
      <c r="Y274" s="67"/>
      <c r="Z274" s="67"/>
      <c r="AA274" s="67"/>
      <c r="AB274" s="68"/>
      <c r="AC274" s="69"/>
      <c r="AD274" s="466"/>
      <c r="AE274" s="70"/>
      <c r="AF274" s="71"/>
      <c r="AG274" s="72"/>
      <c r="AH274" s="469"/>
      <c r="AI274" s="469"/>
      <c r="AJ274" s="72"/>
      <c r="AK274" s="1"/>
      <c r="AL274" s="439"/>
      <c r="AM274" s="439"/>
      <c r="AN274" s="439"/>
      <c r="AO274" s="439"/>
      <c r="AP274" s="439"/>
      <c r="AQ274" s="439"/>
      <c r="AR274" s="439"/>
      <c r="AS274" s="439"/>
      <c r="AT274" s="29"/>
      <c r="AU274" s="30"/>
      <c r="AV274" s="30"/>
      <c r="AW274" s="30"/>
      <c r="AX274" s="30"/>
    </row>
    <row r="275" spans="1:50">
      <c r="A275" s="1"/>
      <c r="B275" s="441">
        <f>IF(B265="","",IF(B265+1&gt;$AB$3,"",B265+1))</f>
        <v>44678</v>
      </c>
      <c r="C275" s="444">
        <f>IF(C265="","",IF(C265+1&gt;$AB$3,"",C265+1))</f>
        <v>44678</v>
      </c>
      <c r="D275" s="447">
        <f>IF(C275="","",WEEKDAY(C275,1))</f>
        <v>4</v>
      </c>
      <c r="E275" s="450" t="str">
        <f>IF($D275="","",IF(NOT(ISERROR(MATCH($C275,祝日テーブル,0)=TRUE)),IF($D275=1,"法定","法定外"),IF($D275=1,"法定",IF($D275=7,"法定外",""))))</f>
        <v/>
      </c>
      <c r="F275" s="453">
        <v>900</v>
      </c>
      <c r="G275" s="453">
        <v>1745</v>
      </c>
      <c r="H275" s="470">
        <v>4.1666666666666664E-2</v>
      </c>
      <c r="I275" s="473"/>
      <c r="J275" s="473"/>
      <c r="K275" s="471"/>
      <c r="L275" s="32">
        <f t="shared" ref="L275" si="391">MOD(F275,100)+FLOOR(F275/100,1)*60</f>
        <v>540</v>
      </c>
      <c r="M275" s="32"/>
      <c r="N275" s="475"/>
      <c r="O275" s="33">
        <f t="shared" ref="O275" si="392">IF($I$3= "協力会社",M279,IF(L279&gt;=$L$12,$M$12,IF(L279&gt;0,M279,0)))</f>
        <v>0.32291666666666669</v>
      </c>
      <c r="P275" s="33">
        <f t="shared" ref="P275" si="393">SUMIF(AB275:AB284,"1.00",AC275:AC284)+SUMIF(AB275:AB284,"振休取得",AC275:AC284)</f>
        <v>0.32291666666666669</v>
      </c>
      <c r="Q275" s="34"/>
      <c r="R275" s="34"/>
      <c r="S275" s="34"/>
      <c r="T275" s="35"/>
      <c r="U275" s="462"/>
      <c r="V275" s="462"/>
      <c r="W275" s="36" t="s">
        <v>649</v>
      </c>
      <c r="X275" s="37" t="s">
        <v>608</v>
      </c>
      <c r="Y275" s="37"/>
      <c r="Z275" s="37" t="s">
        <v>650</v>
      </c>
      <c r="AA275" s="37"/>
      <c r="AB275" s="38" t="s">
        <v>121</v>
      </c>
      <c r="AC275" s="39">
        <v>0.32291666666666669</v>
      </c>
      <c r="AD275" s="464"/>
      <c r="AE275" s="40"/>
      <c r="AF275" s="41"/>
      <c r="AG275" s="42"/>
      <c r="AH275" s="467" t="s">
        <v>661</v>
      </c>
      <c r="AI275" s="467" t="s">
        <v>653</v>
      </c>
      <c r="AJ275" s="43"/>
      <c r="AK275" s="1"/>
      <c r="AL275" s="437"/>
      <c r="AM275" s="437"/>
      <c r="AN275" s="437"/>
      <c r="AO275" s="437"/>
      <c r="AP275" s="437"/>
      <c r="AQ275" s="437"/>
      <c r="AR275" s="437"/>
      <c r="AS275" s="437"/>
      <c r="AT275" s="29"/>
      <c r="AU275" s="30"/>
      <c r="AV275" s="30"/>
      <c r="AW275" s="30"/>
      <c r="AX275" s="30"/>
    </row>
    <row r="276" spans="1:50" ht="11.25" customHeight="1">
      <c r="A276" s="1"/>
      <c r="B276" s="442"/>
      <c r="C276" s="445"/>
      <c r="D276" s="448"/>
      <c r="E276" s="451"/>
      <c r="F276" s="454"/>
      <c r="G276" s="454"/>
      <c r="H276" s="471"/>
      <c r="I276" s="473"/>
      <c r="J276" s="473"/>
      <c r="K276" s="471"/>
      <c r="L276" s="44">
        <f t="shared" ref="L276" si="394">MOD(G275,100)+FLOOR(G275/100,1)*60</f>
        <v>1065</v>
      </c>
      <c r="M276" s="44"/>
      <c r="N276" s="476"/>
      <c r="O276" s="45"/>
      <c r="P276" s="46"/>
      <c r="Q276" s="47"/>
      <c r="R276" s="47"/>
      <c r="S276" s="47"/>
      <c r="T276" s="48"/>
      <c r="U276" s="462"/>
      <c r="V276" s="462"/>
      <c r="W276" s="36"/>
      <c r="X276" s="49"/>
      <c r="Y276" s="50"/>
      <c r="Z276" s="50"/>
      <c r="AA276" s="50"/>
      <c r="AB276" s="51"/>
      <c r="AC276" s="52"/>
      <c r="AD276" s="465"/>
      <c r="AE276" s="53"/>
      <c r="AF276" s="54"/>
      <c r="AG276" s="55"/>
      <c r="AH276" s="468"/>
      <c r="AI276" s="468"/>
      <c r="AJ276" s="55"/>
      <c r="AK276" s="1"/>
      <c r="AL276" s="438"/>
      <c r="AM276" s="438"/>
      <c r="AN276" s="438"/>
      <c r="AO276" s="438"/>
      <c r="AP276" s="438"/>
      <c r="AQ276" s="438"/>
      <c r="AR276" s="438"/>
      <c r="AS276" s="438"/>
      <c r="AT276" s="29"/>
      <c r="AU276" s="30"/>
      <c r="AV276" s="30"/>
      <c r="AW276" s="30"/>
      <c r="AX276" s="30"/>
    </row>
    <row r="277" spans="1:50" ht="11.25" customHeight="1">
      <c r="A277" s="1"/>
      <c r="B277" s="442"/>
      <c r="C277" s="445"/>
      <c r="D277" s="448"/>
      <c r="E277" s="451"/>
      <c r="F277" s="454"/>
      <c r="G277" s="454"/>
      <c r="H277" s="471"/>
      <c r="I277" s="473"/>
      <c r="J277" s="473"/>
      <c r="K277" s="471"/>
      <c r="L277" s="44">
        <f t="shared" ref="L277" si="395">L276-L275</f>
        <v>525</v>
      </c>
      <c r="M277" s="44"/>
      <c r="N277" s="476"/>
      <c r="O277" s="46"/>
      <c r="P277" s="45">
        <f t="shared" ref="P277" si="396">SUMIF(AB275:AB284,"有休",AC275:AC284)+SUMIF(AB275:AB284,"無給休",AC275:AC284)+SUMIF(AB275:AB284,"振休",AC275:AC284)+SUMIF(AB275:AB284,"特休",AC275:AC284)</f>
        <v>0</v>
      </c>
      <c r="Q277" s="47"/>
      <c r="R277" s="47"/>
      <c r="S277" s="47"/>
      <c r="T277" s="48"/>
      <c r="U277" s="462"/>
      <c r="V277" s="462"/>
      <c r="W277" s="36"/>
      <c r="X277" s="49"/>
      <c r="Y277" s="50"/>
      <c r="Z277" s="50"/>
      <c r="AA277" s="50"/>
      <c r="AB277" s="51"/>
      <c r="AC277" s="52"/>
      <c r="AD277" s="465"/>
      <c r="AE277" s="53"/>
      <c r="AF277" s="54"/>
      <c r="AG277" s="55"/>
      <c r="AH277" s="468"/>
      <c r="AI277" s="468"/>
      <c r="AJ277" s="54"/>
      <c r="AK277" s="1"/>
      <c r="AL277" s="438"/>
      <c r="AM277" s="438"/>
      <c r="AN277" s="438"/>
      <c r="AO277" s="438"/>
      <c r="AP277" s="438"/>
      <c r="AQ277" s="438"/>
      <c r="AR277" s="438"/>
      <c r="AS277" s="438"/>
      <c r="AT277" s="29"/>
      <c r="AU277" s="30"/>
      <c r="AV277" s="30"/>
      <c r="AW277" s="30"/>
      <c r="AX277" s="30"/>
    </row>
    <row r="278" spans="1:50" ht="11.25" customHeight="1">
      <c r="A278" s="1"/>
      <c r="B278" s="442"/>
      <c r="C278" s="445"/>
      <c r="D278" s="448"/>
      <c r="E278" s="451"/>
      <c r="F278" s="454"/>
      <c r="G278" s="454"/>
      <c r="H278" s="471"/>
      <c r="I278" s="473"/>
      <c r="J278" s="473"/>
      <c r="K278" s="471"/>
      <c r="L278" s="44">
        <f t="shared" ref="L278" si="397">ROUNDUP(L277/60,2)</f>
        <v>8.75</v>
      </c>
      <c r="M278" s="44"/>
      <c r="N278" s="476"/>
      <c r="O278" s="46"/>
      <c r="P278" s="46"/>
      <c r="Q278" s="47"/>
      <c r="R278" s="47"/>
      <c r="S278" s="47"/>
      <c r="T278" s="48"/>
      <c r="U278" s="462"/>
      <c r="V278" s="462"/>
      <c r="W278" s="36"/>
      <c r="X278" s="49"/>
      <c r="Y278" s="50"/>
      <c r="Z278" s="50"/>
      <c r="AA278" s="50"/>
      <c r="AB278" s="51"/>
      <c r="AC278" s="52"/>
      <c r="AD278" s="465"/>
      <c r="AE278" s="53"/>
      <c r="AF278" s="54"/>
      <c r="AG278" s="55"/>
      <c r="AH278" s="468"/>
      <c r="AI278" s="468"/>
      <c r="AJ278" s="55"/>
      <c r="AK278" s="1"/>
      <c r="AL278" s="438"/>
      <c r="AM278" s="438"/>
      <c r="AN278" s="438"/>
      <c r="AO278" s="438"/>
      <c r="AP278" s="438"/>
      <c r="AQ278" s="438"/>
      <c r="AR278" s="438"/>
      <c r="AS278" s="438"/>
      <c r="AT278" s="29"/>
      <c r="AU278" s="30"/>
      <c r="AV278" s="30"/>
      <c r="AW278" s="30"/>
      <c r="AX278" s="30"/>
    </row>
    <row r="279" spans="1:50" ht="11.25" customHeight="1">
      <c r="A279" s="1"/>
      <c r="B279" s="442"/>
      <c r="C279" s="445"/>
      <c r="D279" s="448"/>
      <c r="E279" s="451"/>
      <c r="F279" s="454"/>
      <c r="G279" s="454"/>
      <c r="H279" s="471"/>
      <c r="I279" s="473"/>
      <c r="J279" s="473"/>
      <c r="K279" s="471"/>
      <c r="L279" s="44">
        <f t="shared" ref="L279" si="398">IF(L278&gt;0,L278-HOUR(H275)-MINUTE(H275)/60,0)</f>
        <v>7.75</v>
      </c>
      <c r="M279" s="56">
        <f t="shared" ref="M279" si="399">TIME(L279-MOD(L279,1),MOD(L279,1)*60,0)</f>
        <v>0.32291666666666669</v>
      </c>
      <c r="N279" s="476"/>
      <c r="O279" s="45">
        <f t="shared" ref="O279" si="400">M281</f>
        <v>0</v>
      </c>
      <c r="P279" s="45">
        <f t="shared" ref="P279" si="401">SUMIF(AB275:AB284,"1.25",AC275:AC284)+SUMIF(AB275:AB284,"他時間外",AC275:AC284)+SUMIF(AB275:AB284,"1.35",AC275:AC284)</f>
        <v>0</v>
      </c>
      <c r="Q279" s="47"/>
      <c r="R279" s="47"/>
      <c r="S279" s="47"/>
      <c r="T279" s="48"/>
      <c r="U279" s="462"/>
      <c r="V279" s="462"/>
      <c r="W279" s="36"/>
      <c r="X279" s="49"/>
      <c r="Y279" s="50"/>
      <c r="Z279" s="50"/>
      <c r="AA279" s="50"/>
      <c r="AB279" s="51"/>
      <c r="AC279" s="52"/>
      <c r="AD279" s="465"/>
      <c r="AE279" s="53"/>
      <c r="AF279" s="54"/>
      <c r="AG279" s="55"/>
      <c r="AH279" s="468"/>
      <c r="AI279" s="468"/>
      <c r="AJ279" s="55"/>
      <c r="AK279" s="1"/>
      <c r="AL279" s="438"/>
      <c r="AM279" s="438"/>
      <c r="AN279" s="438"/>
      <c r="AO279" s="438"/>
      <c r="AP279" s="438"/>
      <c r="AQ279" s="438"/>
      <c r="AR279" s="438"/>
      <c r="AS279" s="438"/>
      <c r="AT279" s="29"/>
      <c r="AU279" s="30"/>
      <c r="AV279" s="30"/>
      <c r="AW279" s="30"/>
      <c r="AX279" s="30"/>
    </row>
    <row r="280" spans="1:50" ht="11.25" customHeight="1">
      <c r="A280" s="1"/>
      <c r="B280" s="442"/>
      <c r="C280" s="445"/>
      <c r="D280" s="448"/>
      <c r="E280" s="451"/>
      <c r="F280" s="454"/>
      <c r="G280" s="454"/>
      <c r="H280" s="471"/>
      <c r="I280" s="473"/>
      <c r="J280" s="473"/>
      <c r="K280" s="471"/>
      <c r="L280" s="44">
        <f t="shared" ref="L280" si="402">L279-$L$12</f>
        <v>0</v>
      </c>
      <c r="M280" s="44"/>
      <c r="N280" s="476"/>
      <c r="O280" s="46"/>
      <c r="P280" s="46"/>
      <c r="Q280" s="47"/>
      <c r="R280" s="47"/>
      <c r="S280" s="47"/>
      <c r="T280" s="48"/>
      <c r="U280" s="462"/>
      <c r="V280" s="462"/>
      <c r="W280" s="36"/>
      <c r="X280" s="49"/>
      <c r="Y280" s="50"/>
      <c r="Z280" s="50"/>
      <c r="AA280" s="50"/>
      <c r="AB280" s="51"/>
      <c r="AC280" s="52"/>
      <c r="AD280" s="465"/>
      <c r="AE280" s="53"/>
      <c r="AF280" s="54"/>
      <c r="AG280" s="55"/>
      <c r="AH280" s="468"/>
      <c r="AI280" s="468"/>
      <c r="AJ280" s="55"/>
      <c r="AK280" s="1"/>
      <c r="AL280" s="438"/>
      <c r="AM280" s="438"/>
      <c r="AN280" s="438"/>
      <c r="AO280" s="438"/>
      <c r="AP280" s="438"/>
      <c r="AQ280" s="438"/>
      <c r="AR280" s="438"/>
      <c r="AS280" s="438"/>
      <c r="AT280" s="29"/>
      <c r="AU280" s="30"/>
      <c r="AV280" s="30"/>
      <c r="AW280" s="30"/>
      <c r="AX280" s="30"/>
    </row>
    <row r="281" spans="1:50" ht="11.25" customHeight="1">
      <c r="A281" s="1"/>
      <c r="B281" s="442"/>
      <c r="C281" s="445"/>
      <c r="D281" s="448"/>
      <c r="E281" s="451"/>
      <c r="F281" s="454"/>
      <c r="G281" s="454"/>
      <c r="H281" s="471"/>
      <c r="I281" s="473"/>
      <c r="J281" s="473"/>
      <c r="K281" s="471"/>
      <c r="L281" s="44">
        <f t="shared" ref="L281" si="403">IF($I$3= "協力会社",0,IF(L280&gt;0,L280,0))</f>
        <v>0</v>
      </c>
      <c r="M281" s="56">
        <f t="shared" ref="M281" si="404">TIME(L281-MOD(L281,1),MOD(L281,1)*60,0)</f>
        <v>0</v>
      </c>
      <c r="N281" s="476"/>
      <c r="O281" s="46"/>
      <c r="P281" s="45">
        <f t="shared" ref="P281" si="405">SUMIF(AB275:AB284,"0.25深夜",AC275:AC284)</f>
        <v>0</v>
      </c>
      <c r="Q281" s="47"/>
      <c r="R281" s="47"/>
      <c r="S281" s="47"/>
      <c r="T281" s="48"/>
      <c r="U281" s="462"/>
      <c r="V281" s="462"/>
      <c r="W281" s="36"/>
      <c r="X281" s="49"/>
      <c r="Y281" s="50"/>
      <c r="Z281" s="50"/>
      <c r="AA281" s="50"/>
      <c r="AB281" s="51"/>
      <c r="AC281" s="52"/>
      <c r="AD281" s="465"/>
      <c r="AE281" s="53"/>
      <c r="AF281" s="54"/>
      <c r="AG281" s="55"/>
      <c r="AH281" s="468"/>
      <c r="AI281" s="468"/>
      <c r="AJ281" s="55"/>
      <c r="AK281" s="1"/>
      <c r="AL281" s="438"/>
      <c r="AM281" s="438"/>
      <c r="AN281" s="438"/>
      <c r="AO281" s="438"/>
      <c r="AP281" s="438"/>
      <c r="AQ281" s="438"/>
      <c r="AR281" s="438"/>
      <c r="AS281" s="438"/>
      <c r="AT281" s="29"/>
      <c r="AU281" s="30"/>
      <c r="AV281" s="30"/>
      <c r="AW281" s="30"/>
      <c r="AX281" s="30"/>
    </row>
    <row r="282" spans="1:50" ht="11.25" customHeight="1">
      <c r="A282" s="1"/>
      <c r="B282" s="442"/>
      <c r="C282" s="445"/>
      <c r="D282" s="448"/>
      <c r="E282" s="451"/>
      <c r="F282" s="454"/>
      <c r="G282" s="454"/>
      <c r="H282" s="471"/>
      <c r="I282" s="473"/>
      <c r="J282" s="473"/>
      <c r="K282" s="471"/>
      <c r="L282" s="44"/>
      <c r="M282" s="44"/>
      <c r="N282" s="476"/>
      <c r="O282" s="46"/>
      <c r="P282" s="46"/>
      <c r="Q282" s="47"/>
      <c r="R282" s="47"/>
      <c r="S282" s="47"/>
      <c r="T282" s="48"/>
      <c r="U282" s="462"/>
      <c r="V282" s="462"/>
      <c r="W282" s="36"/>
      <c r="X282" s="49"/>
      <c r="Y282" s="50"/>
      <c r="Z282" s="50"/>
      <c r="AA282" s="50"/>
      <c r="AB282" s="51"/>
      <c r="AC282" s="52"/>
      <c r="AD282" s="465"/>
      <c r="AE282" s="53"/>
      <c r="AF282" s="54"/>
      <c r="AG282" s="55"/>
      <c r="AH282" s="468"/>
      <c r="AI282" s="468"/>
      <c r="AJ282" s="55"/>
      <c r="AK282" s="1"/>
      <c r="AL282" s="438"/>
      <c r="AM282" s="438"/>
      <c r="AN282" s="438"/>
      <c r="AO282" s="438"/>
      <c r="AP282" s="438"/>
      <c r="AQ282" s="438"/>
      <c r="AR282" s="438"/>
      <c r="AS282" s="438"/>
      <c r="AT282" s="29"/>
      <c r="AU282" s="30"/>
      <c r="AV282" s="30"/>
      <c r="AW282" s="30"/>
      <c r="AX282" s="30"/>
    </row>
    <row r="283" spans="1:50" ht="11.25" customHeight="1">
      <c r="A283" s="1"/>
      <c r="B283" s="442"/>
      <c r="C283" s="445"/>
      <c r="D283" s="448"/>
      <c r="E283" s="451"/>
      <c r="F283" s="454"/>
      <c r="G283" s="454"/>
      <c r="H283" s="471"/>
      <c r="I283" s="473"/>
      <c r="J283" s="473"/>
      <c r="K283" s="471"/>
      <c r="L283" s="44"/>
      <c r="M283" s="44"/>
      <c r="N283" s="478"/>
      <c r="O283" s="57">
        <f t="shared" ref="O283" si="406">O275+O279</f>
        <v>0.32291666666666669</v>
      </c>
      <c r="P283" s="57">
        <f t="shared" ref="P283" si="407">SUM(P275:P279)</f>
        <v>0.32291666666666669</v>
      </c>
      <c r="Q283" s="47"/>
      <c r="R283" s="47"/>
      <c r="S283" s="47"/>
      <c r="T283" s="48"/>
      <c r="U283" s="462"/>
      <c r="V283" s="462"/>
      <c r="W283" s="36"/>
      <c r="X283" s="49"/>
      <c r="Y283" s="49"/>
      <c r="Z283" s="49"/>
      <c r="AA283" s="49"/>
      <c r="AB283" s="51"/>
      <c r="AC283" s="52"/>
      <c r="AD283" s="465"/>
      <c r="AE283" s="53"/>
      <c r="AF283" s="59"/>
      <c r="AG283" s="60"/>
      <c r="AH283" s="468"/>
      <c r="AI283" s="468"/>
      <c r="AJ283" s="55"/>
      <c r="AK283" s="1"/>
      <c r="AL283" s="438"/>
      <c r="AM283" s="438"/>
      <c r="AN283" s="438"/>
      <c r="AO283" s="438"/>
      <c r="AP283" s="438"/>
      <c r="AQ283" s="438"/>
      <c r="AR283" s="438"/>
      <c r="AS283" s="438"/>
      <c r="AT283" s="29"/>
      <c r="AU283" s="30"/>
      <c r="AV283" s="30"/>
      <c r="AW283" s="30"/>
      <c r="AX283" s="30"/>
    </row>
    <row r="284" spans="1:50" ht="11.25" customHeight="1">
      <c r="A284" s="1"/>
      <c r="B284" s="443"/>
      <c r="C284" s="446"/>
      <c r="D284" s="449"/>
      <c r="E284" s="452"/>
      <c r="F284" s="455"/>
      <c r="G284" s="455"/>
      <c r="H284" s="472"/>
      <c r="I284" s="474"/>
      <c r="J284" s="474"/>
      <c r="K284" s="472"/>
      <c r="L284" s="61"/>
      <c r="M284" s="61"/>
      <c r="N284" s="477"/>
      <c r="O284" s="62"/>
      <c r="P284" s="62"/>
      <c r="Q284" s="63"/>
      <c r="R284" s="63"/>
      <c r="S284" s="63"/>
      <c r="T284" s="64"/>
      <c r="U284" s="463"/>
      <c r="V284" s="463"/>
      <c r="W284" s="65"/>
      <c r="X284" s="66"/>
      <c r="Y284" s="67"/>
      <c r="Z284" s="67"/>
      <c r="AA284" s="67"/>
      <c r="AB284" s="68"/>
      <c r="AC284" s="69"/>
      <c r="AD284" s="466"/>
      <c r="AE284" s="70"/>
      <c r="AF284" s="71"/>
      <c r="AG284" s="72"/>
      <c r="AH284" s="469"/>
      <c r="AI284" s="469"/>
      <c r="AJ284" s="72"/>
      <c r="AK284" s="1"/>
      <c r="AL284" s="439"/>
      <c r="AM284" s="439"/>
      <c r="AN284" s="439"/>
      <c r="AO284" s="439"/>
      <c r="AP284" s="439"/>
      <c r="AQ284" s="439"/>
      <c r="AR284" s="439"/>
      <c r="AS284" s="439"/>
      <c r="AT284" s="29"/>
      <c r="AU284" s="30"/>
      <c r="AV284" s="30"/>
      <c r="AW284" s="30"/>
      <c r="AX284" s="30"/>
    </row>
    <row r="285" spans="1:50">
      <c r="A285" s="1"/>
      <c r="B285" s="441">
        <f>IF(B275="","",IF(B275+1&gt;$AB$3,"",B275+1))</f>
        <v>44679</v>
      </c>
      <c r="C285" s="444">
        <f>IF(C275="","",IF(C275+1&gt;$AB$3,"",C275+1))</f>
        <v>44679</v>
      </c>
      <c r="D285" s="447">
        <f>IF(C285="","",WEEKDAY(C285,1))</f>
        <v>5</v>
      </c>
      <c r="E285" s="450" t="str">
        <f>IF($D285="","",IF(NOT(ISERROR(MATCH($C285,祝日テーブル,0)=TRUE)),IF($D285=1,"法定","法定外"),IF($D285=1,"法定",IF($D285=7,"法定外",""))))</f>
        <v/>
      </c>
      <c r="F285" s="453">
        <v>800</v>
      </c>
      <c r="G285" s="453">
        <v>1700</v>
      </c>
      <c r="H285" s="470">
        <v>4.1666666666666664E-2</v>
      </c>
      <c r="I285" s="473"/>
      <c r="J285" s="473"/>
      <c r="K285" s="471"/>
      <c r="L285" s="32">
        <f t="shared" ref="L285" si="408">MOD(F285,100)+FLOOR(F285/100,1)*60</f>
        <v>480</v>
      </c>
      <c r="M285" s="32"/>
      <c r="N285" s="475"/>
      <c r="O285" s="33">
        <f t="shared" ref="O285" si="409">IF($I$3= "協力会社",M289,IF(L289&gt;=$L$12,$M$12,IF(L289&gt;0,M289,0)))</f>
        <v>0.33333333333333331</v>
      </c>
      <c r="P285" s="33">
        <f t="shared" ref="P285" si="410">SUMIF(AB285:AB294,"1.00",AC285:AC294)+SUMIF(AB285:AB294,"振休取得",AC285:AC294)</f>
        <v>0.33333333333333331</v>
      </c>
      <c r="Q285" s="34"/>
      <c r="R285" s="34"/>
      <c r="S285" s="34"/>
      <c r="T285" s="35"/>
      <c r="U285" s="462"/>
      <c r="V285" s="462"/>
      <c r="W285" s="36" t="s">
        <v>649</v>
      </c>
      <c r="X285" s="37" t="s">
        <v>608</v>
      </c>
      <c r="Y285" s="37"/>
      <c r="Z285" s="37" t="s">
        <v>650</v>
      </c>
      <c r="AA285" s="37"/>
      <c r="AB285" s="38" t="s">
        <v>121</v>
      </c>
      <c r="AC285" s="39">
        <v>0.33333333333333331</v>
      </c>
      <c r="AD285" s="464"/>
      <c r="AE285" s="40"/>
      <c r="AF285" s="41"/>
      <c r="AG285" s="42"/>
      <c r="AH285" s="467" t="s">
        <v>652</v>
      </c>
      <c r="AI285" s="467" t="s">
        <v>653</v>
      </c>
      <c r="AJ285" s="73"/>
      <c r="AK285" s="1"/>
      <c r="AL285" s="437"/>
      <c r="AM285" s="437"/>
      <c r="AN285" s="437"/>
      <c r="AO285" s="437"/>
      <c r="AP285" s="437"/>
      <c r="AQ285" s="437"/>
      <c r="AR285" s="437"/>
      <c r="AS285" s="437"/>
      <c r="AT285" s="29"/>
      <c r="AU285" s="30"/>
      <c r="AV285" s="30"/>
      <c r="AW285" s="30"/>
      <c r="AX285" s="30"/>
    </row>
    <row r="286" spans="1:50" ht="11.25" customHeight="1">
      <c r="A286" s="1"/>
      <c r="B286" s="442"/>
      <c r="C286" s="445"/>
      <c r="D286" s="448"/>
      <c r="E286" s="451"/>
      <c r="F286" s="454"/>
      <c r="G286" s="454"/>
      <c r="H286" s="471"/>
      <c r="I286" s="473"/>
      <c r="J286" s="473"/>
      <c r="K286" s="471"/>
      <c r="L286" s="44">
        <f t="shared" ref="L286" si="411">MOD(G285,100)+FLOOR(G285/100,1)*60</f>
        <v>1020</v>
      </c>
      <c r="M286" s="44"/>
      <c r="N286" s="476"/>
      <c r="O286" s="45"/>
      <c r="P286" s="46"/>
      <c r="Q286" s="47"/>
      <c r="R286" s="47"/>
      <c r="S286" s="47"/>
      <c r="T286" s="48"/>
      <c r="U286" s="462"/>
      <c r="V286" s="462"/>
      <c r="W286" s="36"/>
      <c r="X286" s="49"/>
      <c r="Y286" s="50"/>
      <c r="Z286" s="50"/>
      <c r="AA286" s="50"/>
      <c r="AB286" s="51"/>
      <c r="AC286" s="52"/>
      <c r="AD286" s="465"/>
      <c r="AE286" s="53"/>
      <c r="AF286" s="54"/>
      <c r="AG286" s="55"/>
      <c r="AH286" s="468"/>
      <c r="AI286" s="468"/>
      <c r="AJ286" s="55"/>
      <c r="AK286" s="1"/>
      <c r="AL286" s="438"/>
      <c r="AM286" s="438"/>
      <c r="AN286" s="438"/>
      <c r="AO286" s="438"/>
      <c r="AP286" s="438"/>
      <c r="AQ286" s="438"/>
      <c r="AR286" s="438"/>
      <c r="AS286" s="438"/>
      <c r="AT286" s="29"/>
      <c r="AU286" s="30"/>
      <c r="AV286" s="30"/>
      <c r="AW286" s="30"/>
      <c r="AX286" s="30"/>
    </row>
    <row r="287" spans="1:50" ht="11.25" customHeight="1">
      <c r="A287" s="1"/>
      <c r="B287" s="442"/>
      <c r="C287" s="445"/>
      <c r="D287" s="448"/>
      <c r="E287" s="451"/>
      <c r="F287" s="454"/>
      <c r="G287" s="454"/>
      <c r="H287" s="471"/>
      <c r="I287" s="473"/>
      <c r="J287" s="473"/>
      <c r="K287" s="471"/>
      <c r="L287" s="44">
        <f t="shared" ref="L287" si="412">L286-L285</f>
        <v>540</v>
      </c>
      <c r="M287" s="44"/>
      <c r="N287" s="476"/>
      <c r="O287" s="46"/>
      <c r="P287" s="45">
        <f t="shared" ref="P287" si="413">SUMIF(AB285:AB294,"有休",AC285:AC294)+SUMIF(AB285:AB294,"無給休",AC285:AC294)+SUMIF(AB285:AB294,"振休",AC285:AC294)+SUMIF(AB285:AB294,"特休",AC285:AC294)</f>
        <v>0</v>
      </c>
      <c r="Q287" s="47"/>
      <c r="R287" s="47"/>
      <c r="S287" s="47"/>
      <c r="T287" s="48"/>
      <c r="U287" s="462"/>
      <c r="V287" s="462"/>
      <c r="W287" s="36"/>
      <c r="X287" s="49"/>
      <c r="Y287" s="50"/>
      <c r="Z287" s="50"/>
      <c r="AA287" s="50"/>
      <c r="AB287" s="51"/>
      <c r="AC287" s="52"/>
      <c r="AD287" s="465"/>
      <c r="AE287" s="53"/>
      <c r="AF287" s="54"/>
      <c r="AG287" s="55"/>
      <c r="AH287" s="468"/>
      <c r="AI287" s="468"/>
      <c r="AJ287" s="54"/>
      <c r="AK287" s="1"/>
      <c r="AL287" s="438"/>
      <c r="AM287" s="438"/>
      <c r="AN287" s="438"/>
      <c r="AO287" s="438"/>
      <c r="AP287" s="438"/>
      <c r="AQ287" s="438"/>
      <c r="AR287" s="438"/>
      <c r="AS287" s="438"/>
      <c r="AT287" s="29"/>
      <c r="AU287" s="30"/>
      <c r="AV287" s="30"/>
      <c r="AW287" s="30"/>
      <c r="AX287" s="30"/>
    </row>
    <row r="288" spans="1:50" ht="11.25" customHeight="1">
      <c r="A288" s="1"/>
      <c r="B288" s="442"/>
      <c r="C288" s="445"/>
      <c r="D288" s="448"/>
      <c r="E288" s="451"/>
      <c r="F288" s="454"/>
      <c r="G288" s="454"/>
      <c r="H288" s="471"/>
      <c r="I288" s="473"/>
      <c r="J288" s="473"/>
      <c r="K288" s="471"/>
      <c r="L288" s="44">
        <f t="shared" ref="L288" si="414">ROUNDUP(L287/60,2)</f>
        <v>9</v>
      </c>
      <c r="M288" s="44"/>
      <c r="N288" s="476"/>
      <c r="O288" s="46"/>
      <c r="P288" s="46"/>
      <c r="Q288" s="47"/>
      <c r="R288" s="47"/>
      <c r="S288" s="47"/>
      <c r="T288" s="48"/>
      <c r="U288" s="462"/>
      <c r="V288" s="462"/>
      <c r="W288" s="36"/>
      <c r="X288" s="49"/>
      <c r="Y288" s="50"/>
      <c r="Z288" s="50"/>
      <c r="AA288" s="50"/>
      <c r="AB288" s="51"/>
      <c r="AC288" s="52"/>
      <c r="AD288" s="465"/>
      <c r="AE288" s="53"/>
      <c r="AF288" s="54"/>
      <c r="AG288" s="55"/>
      <c r="AH288" s="468"/>
      <c r="AI288" s="468"/>
      <c r="AJ288" s="55"/>
      <c r="AK288" s="1"/>
      <c r="AL288" s="438"/>
      <c r="AM288" s="438"/>
      <c r="AN288" s="438"/>
      <c r="AO288" s="438"/>
      <c r="AP288" s="438"/>
      <c r="AQ288" s="438"/>
      <c r="AR288" s="438"/>
      <c r="AS288" s="438"/>
      <c r="AT288" s="29"/>
      <c r="AU288" s="30"/>
      <c r="AV288" s="30"/>
      <c r="AW288" s="30"/>
      <c r="AX288" s="30"/>
    </row>
    <row r="289" spans="1:50" ht="11.25" customHeight="1">
      <c r="A289" s="1"/>
      <c r="B289" s="442"/>
      <c r="C289" s="445"/>
      <c r="D289" s="448"/>
      <c r="E289" s="451"/>
      <c r="F289" s="454"/>
      <c r="G289" s="454"/>
      <c r="H289" s="471"/>
      <c r="I289" s="473"/>
      <c r="J289" s="473"/>
      <c r="K289" s="471"/>
      <c r="L289" s="44">
        <f t="shared" ref="L289" si="415">IF(L288&gt;0,L288-HOUR(H285)-MINUTE(H285)/60,0)</f>
        <v>8</v>
      </c>
      <c r="M289" s="56">
        <f t="shared" ref="M289" si="416">TIME(L289-MOD(L289,1),MOD(L289,1)*60,0)</f>
        <v>0.33333333333333331</v>
      </c>
      <c r="N289" s="476"/>
      <c r="O289" s="45">
        <f t="shared" ref="O289" si="417">M291</f>
        <v>0</v>
      </c>
      <c r="P289" s="45">
        <f t="shared" ref="P289" si="418">SUMIF(AB285:AB294,"1.25",AC285:AC294)+SUMIF(AB285:AB294,"他時間外",AC285:AC294)+SUMIF(AB285:AB294,"1.35",AC285:AC294)</f>
        <v>0</v>
      </c>
      <c r="Q289" s="47"/>
      <c r="R289" s="47"/>
      <c r="S289" s="47"/>
      <c r="T289" s="48"/>
      <c r="U289" s="462"/>
      <c r="V289" s="462"/>
      <c r="W289" s="36"/>
      <c r="X289" s="49"/>
      <c r="Y289" s="50"/>
      <c r="Z289" s="50"/>
      <c r="AA289" s="50"/>
      <c r="AB289" s="51"/>
      <c r="AC289" s="52"/>
      <c r="AD289" s="465"/>
      <c r="AE289" s="53"/>
      <c r="AF289" s="54"/>
      <c r="AG289" s="55"/>
      <c r="AH289" s="468"/>
      <c r="AI289" s="468"/>
      <c r="AJ289" s="55"/>
      <c r="AK289" s="1"/>
      <c r="AL289" s="438"/>
      <c r="AM289" s="438"/>
      <c r="AN289" s="438"/>
      <c r="AO289" s="438"/>
      <c r="AP289" s="438"/>
      <c r="AQ289" s="438"/>
      <c r="AR289" s="438"/>
      <c r="AS289" s="438"/>
      <c r="AT289" s="29"/>
      <c r="AU289" s="30"/>
      <c r="AV289" s="30"/>
      <c r="AW289" s="30"/>
      <c r="AX289" s="30"/>
    </row>
    <row r="290" spans="1:50" ht="11.25" customHeight="1">
      <c r="A290" s="1"/>
      <c r="B290" s="442"/>
      <c r="C290" s="445"/>
      <c r="D290" s="448"/>
      <c r="E290" s="451"/>
      <c r="F290" s="454"/>
      <c r="G290" s="454"/>
      <c r="H290" s="471"/>
      <c r="I290" s="473"/>
      <c r="J290" s="473"/>
      <c r="K290" s="471"/>
      <c r="L290" s="44">
        <f t="shared" ref="L290" si="419">L289-$L$12</f>
        <v>0.25</v>
      </c>
      <c r="M290" s="44"/>
      <c r="N290" s="476"/>
      <c r="O290" s="46"/>
      <c r="P290" s="46"/>
      <c r="Q290" s="47"/>
      <c r="R290" s="47"/>
      <c r="S290" s="47"/>
      <c r="T290" s="48"/>
      <c r="U290" s="462"/>
      <c r="V290" s="462"/>
      <c r="W290" s="36"/>
      <c r="X290" s="49"/>
      <c r="Y290" s="50"/>
      <c r="Z290" s="50"/>
      <c r="AA290" s="50"/>
      <c r="AB290" s="51"/>
      <c r="AC290" s="52"/>
      <c r="AD290" s="465"/>
      <c r="AE290" s="53"/>
      <c r="AF290" s="54"/>
      <c r="AG290" s="55"/>
      <c r="AH290" s="468"/>
      <c r="AI290" s="468"/>
      <c r="AJ290" s="55"/>
      <c r="AK290" s="1"/>
      <c r="AL290" s="438"/>
      <c r="AM290" s="438"/>
      <c r="AN290" s="438"/>
      <c r="AO290" s="438"/>
      <c r="AP290" s="438"/>
      <c r="AQ290" s="438"/>
      <c r="AR290" s="438"/>
      <c r="AS290" s="438"/>
      <c r="AT290" s="29"/>
      <c r="AU290" s="30"/>
      <c r="AV290" s="30"/>
      <c r="AW290" s="30"/>
      <c r="AX290" s="30"/>
    </row>
    <row r="291" spans="1:50" ht="11.25" customHeight="1">
      <c r="A291" s="1"/>
      <c r="B291" s="442"/>
      <c r="C291" s="445"/>
      <c r="D291" s="448"/>
      <c r="E291" s="451"/>
      <c r="F291" s="454"/>
      <c r="G291" s="454"/>
      <c r="H291" s="471"/>
      <c r="I291" s="473"/>
      <c r="J291" s="473"/>
      <c r="K291" s="471"/>
      <c r="L291" s="44">
        <f t="shared" ref="L291" si="420">IF($I$3= "協力会社",0,IF(L290&gt;0,L290,0))</f>
        <v>0</v>
      </c>
      <c r="M291" s="56">
        <f t="shared" ref="M291" si="421">TIME(L291-MOD(L291,1),MOD(L291,1)*60,0)</f>
        <v>0</v>
      </c>
      <c r="N291" s="476"/>
      <c r="O291" s="46"/>
      <c r="P291" s="45">
        <f t="shared" ref="P291" si="422">SUMIF(AB285:AB294,"0.25深夜",AC285:AC294)</f>
        <v>0</v>
      </c>
      <c r="Q291" s="47"/>
      <c r="R291" s="47"/>
      <c r="S291" s="47"/>
      <c r="T291" s="48"/>
      <c r="U291" s="462"/>
      <c r="V291" s="462"/>
      <c r="W291" s="36"/>
      <c r="X291" s="49"/>
      <c r="Y291" s="50"/>
      <c r="Z291" s="50"/>
      <c r="AA291" s="50"/>
      <c r="AB291" s="51"/>
      <c r="AC291" s="52"/>
      <c r="AD291" s="465"/>
      <c r="AE291" s="53"/>
      <c r="AF291" s="54"/>
      <c r="AG291" s="55"/>
      <c r="AH291" s="468"/>
      <c r="AI291" s="468"/>
      <c r="AJ291" s="55"/>
      <c r="AK291" s="1"/>
      <c r="AL291" s="438"/>
      <c r="AM291" s="438"/>
      <c r="AN291" s="438"/>
      <c r="AO291" s="438"/>
      <c r="AP291" s="438"/>
      <c r="AQ291" s="438"/>
      <c r="AR291" s="438"/>
      <c r="AS291" s="438"/>
      <c r="AT291" s="29"/>
      <c r="AU291" s="30"/>
      <c r="AV291" s="30"/>
      <c r="AW291" s="30"/>
      <c r="AX291" s="30"/>
    </row>
    <row r="292" spans="1:50" ht="11.25" customHeight="1">
      <c r="A292" s="1"/>
      <c r="B292" s="442"/>
      <c r="C292" s="445"/>
      <c r="D292" s="448"/>
      <c r="E292" s="451"/>
      <c r="F292" s="454"/>
      <c r="G292" s="454"/>
      <c r="H292" s="471"/>
      <c r="I292" s="473"/>
      <c r="J292" s="473"/>
      <c r="K292" s="471"/>
      <c r="L292" s="44"/>
      <c r="M292" s="44"/>
      <c r="N292" s="476"/>
      <c r="O292" s="46"/>
      <c r="P292" s="46"/>
      <c r="Q292" s="47"/>
      <c r="R292" s="47"/>
      <c r="S292" s="47"/>
      <c r="T292" s="48"/>
      <c r="U292" s="462"/>
      <c r="V292" s="462"/>
      <c r="W292" s="36"/>
      <c r="X292" s="49"/>
      <c r="Y292" s="50"/>
      <c r="Z292" s="50"/>
      <c r="AA292" s="50"/>
      <c r="AB292" s="51"/>
      <c r="AC292" s="52"/>
      <c r="AD292" s="465"/>
      <c r="AE292" s="53"/>
      <c r="AF292" s="54"/>
      <c r="AG292" s="55"/>
      <c r="AH292" s="468"/>
      <c r="AI292" s="468"/>
      <c r="AJ292" s="55"/>
      <c r="AK292" s="1"/>
      <c r="AL292" s="438"/>
      <c r="AM292" s="438"/>
      <c r="AN292" s="438"/>
      <c r="AO292" s="438"/>
      <c r="AP292" s="438"/>
      <c r="AQ292" s="438"/>
      <c r="AR292" s="438"/>
      <c r="AS292" s="438"/>
      <c r="AT292" s="29"/>
      <c r="AU292" s="30"/>
      <c r="AV292" s="30"/>
      <c r="AW292" s="30"/>
      <c r="AX292" s="30"/>
    </row>
    <row r="293" spans="1:50" ht="11.25" customHeight="1">
      <c r="A293" s="1"/>
      <c r="B293" s="442"/>
      <c r="C293" s="445"/>
      <c r="D293" s="448"/>
      <c r="E293" s="451"/>
      <c r="F293" s="454"/>
      <c r="G293" s="454"/>
      <c r="H293" s="471"/>
      <c r="I293" s="473"/>
      <c r="J293" s="473"/>
      <c r="K293" s="471"/>
      <c r="L293" s="44"/>
      <c r="M293" s="44"/>
      <c r="N293" s="478"/>
      <c r="O293" s="57">
        <f t="shared" ref="O293" si="423">O285+O289</f>
        <v>0.33333333333333331</v>
      </c>
      <c r="P293" s="57">
        <f t="shared" ref="P293" si="424">SUM(P285:P289)</f>
        <v>0.33333333333333331</v>
      </c>
      <c r="Q293" s="47"/>
      <c r="R293" s="47"/>
      <c r="S293" s="47"/>
      <c r="T293" s="48"/>
      <c r="U293" s="462"/>
      <c r="V293" s="462"/>
      <c r="W293" s="36"/>
      <c r="X293" s="49"/>
      <c r="Y293" s="49"/>
      <c r="Z293" s="49"/>
      <c r="AA293" s="49"/>
      <c r="AB293" s="51"/>
      <c r="AC293" s="52"/>
      <c r="AD293" s="465"/>
      <c r="AE293" s="53"/>
      <c r="AF293" s="59"/>
      <c r="AG293" s="60"/>
      <c r="AH293" s="468"/>
      <c r="AI293" s="468"/>
      <c r="AJ293" s="55"/>
      <c r="AK293" s="1"/>
      <c r="AL293" s="438"/>
      <c r="AM293" s="438"/>
      <c r="AN293" s="438"/>
      <c r="AO293" s="438"/>
      <c r="AP293" s="438"/>
      <c r="AQ293" s="438"/>
      <c r="AR293" s="438"/>
      <c r="AS293" s="438"/>
      <c r="AT293" s="29"/>
      <c r="AU293" s="30"/>
      <c r="AV293" s="30"/>
      <c r="AW293" s="30"/>
      <c r="AX293" s="30"/>
    </row>
    <row r="294" spans="1:50" ht="11.25" customHeight="1">
      <c r="A294" s="1"/>
      <c r="B294" s="443"/>
      <c r="C294" s="446"/>
      <c r="D294" s="449"/>
      <c r="E294" s="452"/>
      <c r="F294" s="455"/>
      <c r="G294" s="455"/>
      <c r="H294" s="472"/>
      <c r="I294" s="474"/>
      <c r="J294" s="474"/>
      <c r="K294" s="472"/>
      <c r="L294" s="61"/>
      <c r="M294" s="61"/>
      <c r="N294" s="477"/>
      <c r="O294" s="62"/>
      <c r="P294" s="62"/>
      <c r="Q294" s="63"/>
      <c r="R294" s="63"/>
      <c r="S294" s="63"/>
      <c r="T294" s="64"/>
      <c r="U294" s="463"/>
      <c r="V294" s="463"/>
      <c r="W294" s="65"/>
      <c r="X294" s="66"/>
      <c r="Y294" s="67"/>
      <c r="Z294" s="67"/>
      <c r="AA294" s="67"/>
      <c r="AB294" s="68"/>
      <c r="AC294" s="69"/>
      <c r="AD294" s="466"/>
      <c r="AE294" s="70"/>
      <c r="AF294" s="71"/>
      <c r="AG294" s="72"/>
      <c r="AH294" s="469"/>
      <c r="AI294" s="469"/>
      <c r="AJ294" s="72"/>
      <c r="AK294" s="1"/>
      <c r="AL294" s="439"/>
      <c r="AM294" s="439"/>
      <c r="AN294" s="439"/>
      <c r="AO294" s="439"/>
      <c r="AP294" s="439"/>
      <c r="AQ294" s="439"/>
      <c r="AR294" s="439"/>
      <c r="AS294" s="439"/>
      <c r="AT294" s="29"/>
      <c r="AU294" s="30"/>
      <c r="AV294" s="30"/>
      <c r="AW294" s="30"/>
      <c r="AX294" s="30"/>
    </row>
    <row r="295" spans="1:50">
      <c r="A295" s="1"/>
      <c r="B295" s="441">
        <f>IF(B285="","",IF(B285+1&gt;$AB$3,"",B285+1))</f>
        <v>44680</v>
      </c>
      <c r="C295" s="444">
        <f>IF(C285="","",IF(C285+1&gt;$AB$3,"",C285+1))</f>
        <v>44680</v>
      </c>
      <c r="D295" s="447">
        <f>IF(C295="","",WEEKDAY(C295,1))</f>
        <v>6</v>
      </c>
      <c r="E295" s="450" t="str">
        <f>IF($D295="","",IF(NOT(ISERROR(MATCH($C295,祝日テーブル,0)=TRUE)),IF($D295=1,"法定","法定外"),IF($D295=1,"法定",IF($D295=7,"法定外",""))))</f>
        <v>法定外</v>
      </c>
      <c r="F295" s="453"/>
      <c r="G295" s="453"/>
      <c r="H295" s="470">
        <v>4.1666666666666664E-2</v>
      </c>
      <c r="I295" s="473"/>
      <c r="J295" s="473"/>
      <c r="K295" s="471"/>
      <c r="L295" s="32">
        <f t="shared" ref="L295" si="425">MOD(F295,100)+FLOOR(F295/100,1)*60</f>
        <v>0</v>
      </c>
      <c r="M295" s="32"/>
      <c r="N295" s="475"/>
      <c r="O295" s="33">
        <f t="shared" ref="O295" si="426">IF($I$3= "協力会社",M299,IF(L299&gt;=$L$12,$M$12,IF(L299&gt;0,M299,0)))</f>
        <v>0</v>
      </c>
      <c r="P295" s="33">
        <f t="shared" ref="P295" si="427">SUMIF(AB295:AB304,"1.00",AC295:AC304)+SUMIF(AB295:AB304,"振休取得",AC295:AC304)</f>
        <v>0</v>
      </c>
      <c r="Q295" s="34"/>
      <c r="R295" s="34"/>
      <c r="S295" s="34"/>
      <c r="T295" s="35"/>
      <c r="U295" s="462"/>
      <c r="V295" s="462"/>
      <c r="W295" s="36"/>
      <c r="X295" s="37"/>
      <c r="Y295" s="37"/>
      <c r="Z295" s="37"/>
      <c r="AA295" s="37"/>
      <c r="AB295" s="38"/>
      <c r="AC295" s="39"/>
      <c r="AD295" s="464"/>
      <c r="AE295" s="40"/>
      <c r="AF295" s="41"/>
      <c r="AG295" s="42"/>
      <c r="AH295" s="467"/>
      <c r="AI295" s="467"/>
      <c r="AJ295" s="73"/>
      <c r="AK295" s="1"/>
      <c r="AL295" s="437"/>
      <c r="AM295" s="437"/>
      <c r="AN295" s="437"/>
      <c r="AO295" s="437"/>
      <c r="AP295" s="437"/>
      <c r="AQ295" s="437"/>
      <c r="AR295" s="437"/>
      <c r="AS295" s="437"/>
      <c r="AT295" s="29"/>
      <c r="AU295" s="30"/>
      <c r="AV295" s="30"/>
      <c r="AW295" s="30"/>
      <c r="AX295" s="30"/>
    </row>
    <row r="296" spans="1:50" ht="11.25" customHeight="1">
      <c r="A296" s="1"/>
      <c r="B296" s="442"/>
      <c r="C296" s="445"/>
      <c r="D296" s="448"/>
      <c r="E296" s="451"/>
      <c r="F296" s="454"/>
      <c r="G296" s="454"/>
      <c r="H296" s="471"/>
      <c r="I296" s="473"/>
      <c r="J296" s="473"/>
      <c r="K296" s="471"/>
      <c r="L296" s="44">
        <f t="shared" ref="L296" si="428">MOD(G295,100)+FLOOR(G295/100,1)*60</f>
        <v>0</v>
      </c>
      <c r="M296" s="44"/>
      <c r="N296" s="476"/>
      <c r="O296" s="45"/>
      <c r="P296" s="46"/>
      <c r="Q296" s="47"/>
      <c r="R296" s="47"/>
      <c r="S296" s="47"/>
      <c r="T296" s="48"/>
      <c r="U296" s="462"/>
      <c r="V296" s="462"/>
      <c r="W296" s="36"/>
      <c r="X296" s="49"/>
      <c r="Y296" s="50"/>
      <c r="Z296" s="50"/>
      <c r="AA296" s="50"/>
      <c r="AB296" s="51"/>
      <c r="AC296" s="52"/>
      <c r="AD296" s="465"/>
      <c r="AE296" s="53"/>
      <c r="AF296" s="54"/>
      <c r="AG296" s="55"/>
      <c r="AH296" s="468"/>
      <c r="AI296" s="468"/>
      <c r="AJ296" s="55"/>
      <c r="AK296" s="1"/>
      <c r="AL296" s="438"/>
      <c r="AM296" s="438"/>
      <c r="AN296" s="438"/>
      <c r="AO296" s="438"/>
      <c r="AP296" s="438"/>
      <c r="AQ296" s="438"/>
      <c r="AR296" s="438"/>
      <c r="AS296" s="438"/>
      <c r="AT296" s="29"/>
      <c r="AU296" s="30"/>
      <c r="AV296" s="30"/>
      <c r="AW296" s="30"/>
      <c r="AX296" s="30"/>
    </row>
    <row r="297" spans="1:50" ht="11.25" customHeight="1">
      <c r="A297" s="1"/>
      <c r="B297" s="442"/>
      <c r="C297" s="445"/>
      <c r="D297" s="448"/>
      <c r="E297" s="451"/>
      <c r="F297" s="454"/>
      <c r="G297" s="454"/>
      <c r="H297" s="471"/>
      <c r="I297" s="473"/>
      <c r="J297" s="473"/>
      <c r="K297" s="471"/>
      <c r="L297" s="44">
        <f t="shared" ref="L297" si="429">L296-L295</f>
        <v>0</v>
      </c>
      <c r="M297" s="44"/>
      <c r="N297" s="476"/>
      <c r="O297" s="46"/>
      <c r="P297" s="45">
        <f t="shared" ref="P297" si="430">SUMIF(AB295:AB304,"有休",AC295:AC304)+SUMIF(AB295:AB304,"無給休",AC295:AC304)+SUMIF(AB295:AB304,"振休",AC295:AC304)+SUMIF(AB295:AB304,"特休",AC295:AC304)</f>
        <v>0</v>
      </c>
      <c r="Q297" s="47"/>
      <c r="R297" s="47"/>
      <c r="S297" s="47"/>
      <c r="T297" s="48"/>
      <c r="U297" s="462"/>
      <c r="V297" s="462"/>
      <c r="W297" s="36"/>
      <c r="X297" s="49"/>
      <c r="Y297" s="50"/>
      <c r="Z297" s="50"/>
      <c r="AA297" s="50"/>
      <c r="AB297" s="51"/>
      <c r="AC297" s="52"/>
      <c r="AD297" s="465"/>
      <c r="AE297" s="53"/>
      <c r="AF297" s="54"/>
      <c r="AG297" s="55"/>
      <c r="AH297" s="468"/>
      <c r="AI297" s="468"/>
      <c r="AJ297" s="54"/>
      <c r="AK297" s="1"/>
      <c r="AL297" s="438"/>
      <c r="AM297" s="438"/>
      <c r="AN297" s="438"/>
      <c r="AO297" s="438"/>
      <c r="AP297" s="438"/>
      <c r="AQ297" s="438"/>
      <c r="AR297" s="438"/>
      <c r="AS297" s="438"/>
      <c r="AT297" s="29"/>
      <c r="AU297" s="30"/>
      <c r="AV297" s="30"/>
      <c r="AW297" s="30"/>
      <c r="AX297" s="30"/>
    </row>
    <row r="298" spans="1:50" ht="11.25" customHeight="1">
      <c r="A298" s="1"/>
      <c r="B298" s="442"/>
      <c r="C298" s="445"/>
      <c r="D298" s="448"/>
      <c r="E298" s="451"/>
      <c r="F298" s="454"/>
      <c r="G298" s="454"/>
      <c r="H298" s="471"/>
      <c r="I298" s="473"/>
      <c r="J298" s="473"/>
      <c r="K298" s="471"/>
      <c r="L298" s="44">
        <f t="shared" ref="L298" si="431">ROUNDUP(L297/60,2)</f>
        <v>0</v>
      </c>
      <c r="M298" s="44"/>
      <c r="N298" s="476"/>
      <c r="O298" s="46"/>
      <c r="P298" s="46"/>
      <c r="Q298" s="47"/>
      <c r="R298" s="47"/>
      <c r="S298" s="47"/>
      <c r="T298" s="48"/>
      <c r="U298" s="462"/>
      <c r="V298" s="462"/>
      <c r="W298" s="36"/>
      <c r="X298" s="49"/>
      <c r="Y298" s="50"/>
      <c r="Z298" s="50"/>
      <c r="AA298" s="50"/>
      <c r="AB298" s="51"/>
      <c r="AC298" s="52"/>
      <c r="AD298" s="465"/>
      <c r="AE298" s="53"/>
      <c r="AF298" s="54"/>
      <c r="AG298" s="55"/>
      <c r="AH298" s="468"/>
      <c r="AI298" s="468"/>
      <c r="AJ298" s="55"/>
      <c r="AK298" s="1"/>
      <c r="AL298" s="438"/>
      <c r="AM298" s="438"/>
      <c r="AN298" s="438"/>
      <c r="AO298" s="438"/>
      <c r="AP298" s="438"/>
      <c r="AQ298" s="438"/>
      <c r="AR298" s="438"/>
      <c r="AS298" s="438"/>
      <c r="AT298" s="29"/>
      <c r="AU298" s="30"/>
      <c r="AV298" s="30"/>
      <c r="AW298" s="30"/>
      <c r="AX298" s="30"/>
    </row>
    <row r="299" spans="1:50" ht="11.25" customHeight="1">
      <c r="A299" s="1"/>
      <c r="B299" s="442"/>
      <c r="C299" s="445"/>
      <c r="D299" s="448"/>
      <c r="E299" s="451"/>
      <c r="F299" s="454"/>
      <c r="G299" s="454"/>
      <c r="H299" s="471"/>
      <c r="I299" s="473"/>
      <c r="J299" s="473"/>
      <c r="K299" s="471"/>
      <c r="L299" s="44">
        <f t="shared" ref="L299" si="432">IF(L298&gt;0,L298-HOUR(H295)-MINUTE(H295)/60,0)</f>
        <v>0</v>
      </c>
      <c r="M299" s="56">
        <f t="shared" ref="M299" si="433">TIME(L299-MOD(L299,1),MOD(L299,1)*60,0)</f>
        <v>0</v>
      </c>
      <c r="N299" s="476"/>
      <c r="O299" s="45">
        <f t="shared" ref="O299" si="434">M301</f>
        <v>0</v>
      </c>
      <c r="P299" s="45">
        <f t="shared" ref="P299" si="435">SUMIF(AB295:AB304,"1.25",AC295:AC304)+SUMIF(AB295:AB304,"他時間外",AC295:AC304)+SUMIF(AB295:AB304,"1.35",AC295:AC304)</f>
        <v>0</v>
      </c>
      <c r="Q299" s="47"/>
      <c r="R299" s="47"/>
      <c r="S299" s="47"/>
      <c r="T299" s="48"/>
      <c r="U299" s="462"/>
      <c r="V299" s="462"/>
      <c r="W299" s="36"/>
      <c r="X299" s="49"/>
      <c r="Y299" s="50"/>
      <c r="Z299" s="50"/>
      <c r="AA299" s="50"/>
      <c r="AB299" s="51"/>
      <c r="AC299" s="52"/>
      <c r="AD299" s="465"/>
      <c r="AE299" s="53"/>
      <c r="AF299" s="54"/>
      <c r="AG299" s="55"/>
      <c r="AH299" s="468"/>
      <c r="AI299" s="468"/>
      <c r="AJ299" s="55"/>
      <c r="AK299" s="1"/>
      <c r="AL299" s="438"/>
      <c r="AM299" s="438"/>
      <c r="AN299" s="438"/>
      <c r="AO299" s="438"/>
      <c r="AP299" s="438"/>
      <c r="AQ299" s="438"/>
      <c r="AR299" s="438"/>
      <c r="AS299" s="438"/>
      <c r="AT299" s="29"/>
      <c r="AU299" s="30"/>
      <c r="AV299" s="30"/>
      <c r="AW299" s="30"/>
      <c r="AX299" s="30"/>
    </row>
    <row r="300" spans="1:50" ht="11.25" customHeight="1">
      <c r="A300" s="1"/>
      <c r="B300" s="442"/>
      <c r="C300" s="445"/>
      <c r="D300" s="448"/>
      <c r="E300" s="451"/>
      <c r="F300" s="454"/>
      <c r="G300" s="454"/>
      <c r="H300" s="471"/>
      <c r="I300" s="473"/>
      <c r="J300" s="473"/>
      <c r="K300" s="471"/>
      <c r="L300" s="44">
        <f t="shared" ref="L300" si="436">L299-$L$12</f>
        <v>-7.75</v>
      </c>
      <c r="M300" s="44"/>
      <c r="N300" s="476"/>
      <c r="O300" s="46"/>
      <c r="P300" s="46"/>
      <c r="Q300" s="47"/>
      <c r="R300" s="47"/>
      <c r="S300" s="47"/>
      <c r="T300" s="48"/>
      <c r="U300" s="462"/>
      <c r="V300" s="462"/>
      <c r="W300" s="36"/>
      <c r="X300" s="49"/>
      <c r="Y300" s="50"/>
      <c r="Z300" s="50"/>
      <c r="AA300" s="50"/>
      <c r="AB300" s="51"/>
      <c r="AC300" s="52"/>
      <c r="AD300" s="465"/>
      <c r="AE300" s="53"/>
      <c r="AF300" s="54"/>
      <c r="AG300" s="55"/>
      <c r="AH300" s="468"/>
      <c r="AI300" s="468"/>
      <c r="AJ300" s="55"/>
      <c r="AK300" s="1"/>
      <c r="AL300" s="438"/>
      <c r="AM300" s="438"/>
      <c r="AN300" s="438"/>
      <c r="AO300" s="438"/>
      <c r="AP300" s="438"/>
      <c r="AQ300" s="438"/>
      <c r="AR300" s="438"/>
      <c r="AS300" s="438"/>
      <c r="AT300" s="29"/>
      <c r="AU300" s="30"/>
      <c r="AV300" s="30"/>
      <c r="AW300" s="30"/>
      <c r="AX300" s="30"/>
    </row>
    <row r="301" spans="1:50" ht="11.25" customHeight="1">
      <c r="A301" s="1"/>
      <c r="B301" s="442"/>
      <c r="C301" s="445"/>
      <c r="D301" s="448"/>
      <c r="E301" s="451"/>
      <c r="F301" s="454"/>
      <c r="G301" s="454"/>
      <c r="H301" s="471"/>
      <c r="I301" s="473"/>
      <c r="J301" s="473"/>
      <c r="K301" s="471"/>
      <c r="L301" s="44">
        <f t="shared" ref="L301" si="437">IF($I$3= "協力会社",0,IF(L300&gt;0,L300,0))</f>
        <v>0</v>
      </c>
      <c r="M301" s="56">
        <f t="shared" ref="M301" si="438">TIME(L301-MOD(L301,1),MOD(L301,1)*60,0)</f>
        <v>0</v>
      </c>
      <c r="N301" s="476"/>
      <c r="O301" s="46"/>
      <c r="P301" s="45">
        <f t="shared" ref="P301" si="439">SUMIF(AB295:AB304,"0.25深夜",AC295:AC304)</f>
        <v>0</v>
      </c>
      <c r="Q301" s="47"/>
      <c r="R301" s="47"/>
      <c r="S301" s="47"/>
      <c r="T301" s="48"/>
      <c r="U301" s="462"/>
      <c r="V301" s="462"/>
      <c r="W301" s="36"/>
      <c r="X301" s="49"/>
      <c r="Y301" s="50"/>
      <c r="Z301" s="50"/>
      <c r="AA301" s="50"/>
      <c r="AB301" s="51"/>
      <c r="AC301" s="52"/>
      <c r="AD301" s="465"/>
      <c r="AE301" s="53"/>
      <c r="AF301" s="54"/>
      <c r="AG301" s="55"/>
      <c r="AH301" s="468"/>
      <c r="AI301" s="468"/>
      <c r="AJ301" s="55"/>
      <c r="AK301" s="1"/>
      <c r="AL301" s="438"/>
      <c r="AM301" s="438"/>
      <c r="AN301" s="438"/>
      <c r="AO301" s="438"/>
      <c r="AP301" s="438"/>
      <c r="AQ301" s="438"/>
      <c r="AR301" s="438"/>
      <c r="AS301" s="438"/>
      <c r="AT301" s="29"/>
      <c r="AU301" s="30"/>
      <c r="AV301" s="30"/>
      <c r="AW301" s="30"/>
      <c r="AX301" s="30"/>
    </row>
    <row r="302" spans="1:50" ht="11.25" customHeight="1">
      <c r="A302" s="1"/>
      <c r="B302" s="442"/>
      <c r="C302" s="445"/>
      <c r="D302" s="448"/>
      <c r="E302" s="451"/>
      <c r="F302" s="454"/>
      <c r="G302" s="454"/>
      <c r="H302" s="471"/>
      <c r="I302" s="473"/>
      <c r="J302" s="473"/>
      <c r="K302" s="471"/>
      <c r="L302" s="44"/>
      <c r="M302" s="44"/>
      <c r="N302" s="476"/>
      <c r="O302" s="46"/>
      <c r="P302" s="46"/>
      <c r="Q302" s="47"/>
      <c r="R302" s="47"/>
      <c r="S302" s="47"/>
      <c r="T302" s="48"/>
      <c r="U302" s="462"/>
      <c r="V302" s="462"/>
      <c r="W302" s="36"/>
      <c r="X302" s="49"/>
      <c r="Y302" s="50"/>
      <c r="Z302" s="50"/>
      <c r="AA302" s="50"/>
      <c r="AB302" s="51"/>
      <c r="AC302" s="52"/>
      <c r="AD302" s="465"/>
      <c r="AE302" s="53"/>
      <c r="AF302" s="54"/>
      <c r="AG302" s="55"/>
      <c r="AH302" s="468"/>
      <c r="AI302" s="468"/>
      <c r="AJ302" s="55"/>
      <c r="AK302" s="1"/>
      <c r="AL302" s="438"/>
      <c r="AM302" s="438"/>
      <c r="AN302" s="438"/>
      <c r="AO302" s="438"/>
      <c r="AP302" s="438"/>
      <c r="AQ302" s="438"/>
      <c r="AR302" s="438"/>
      <c r="AS302" s="438"/>
      <c r="AT302" s="29"/>
      <c r="AU302" s="30"/>
      <c r="AV302" s="30"/>
      <c r="AW302" s="30"/>
      <c r="AX302" s="30"/>
    </row>
    <row r="303" spans="1:50" ht="11.25" customHeight="1">
      <c r="A303" s="1"/>
      <c r="B303" s="442"/>
      <c r="C303" s="445"/>
      <c r="D303" s="448"/>
      <c r="E303" s="451"/>
      <c r="F303" s="454"/>
      <c r="G303" s="454"/>
      <c r="H303" s="471"/>
      <c r="I303" s="473"/>
      <c r="J303" s="473"/>
      <c r="K303" s="471"/>
      <c r="L303" s="44"/>
      <c r="M303" s="44"/>
      <c r="N303" s="478"/>
      <c r="O303" s="57">
        <f t="shared" ref="O303" si="440">O295+O299</f>
        <v>0</v>
      </c>
      <c r="P303" s="57">
        <f t="shared" ref="P303" si="441">SUM(P295:P299)</f>
        <v>0</v>
      </c>
      <c r="Q303" s="47"/>
      <c r="R303" s="47"/>
      <c r="S303" s="47"/>
      <c r="T303" s="48"/>
      <c r="U303" s="462"/>
      <c r="V303" s="462"/>
      <c r="W303" s="36"/>
      <c r="X303" s="49"/>
      <c r="Y303" s="49"/>
      <c r="Z303" s="49"/>
      <c r="AA303" s="49"/>
      <c r="AB303" s="51"/>
      <c r="AC303" s="52"/>
      <c r="AD303" s="465"/>
      <c r="AE303" s="53"/>
      <c r="AF303" s="59"/>
      <c r="AG303" s="60"/>
      <c r="AH303" s="468"/>
      <c r="AI303" s="468"/>
      <c r="AJ303" s="55"/>
      <c r="AK303" s="1"/>
      <c r="AL303" s="438"/>
      <c r="AM303" s="438"/>
      <c r="AN303" s="438"/>
      <c r="AO303" s="438"/>
      <c r="AP303" s="438"/>
      <c r="AQ303" s="438"/>
      <c r="AR303" s="438"/>
      <c r="AS303" s="438"/>
      <c r="AT303" s="29"/>
      <c r="AU303" s="30"/>
      <c r="AV303" s="30"/>
      <c r="AW303" s="30"/>
      <c r="AX303" s="30"/>
    </row>
    <row r="304" spans="1:50" ht="11.25" customHeight="1">
      <c r="A304" s="1"/>
      <c r="B304" s="443"/>
      <c r="C304" s="446"/>
      <c r="D304" s="449"/>
      <c r="E304" s="452"/>
      <c r="F304" s="455"/>
      <c r="G304" s="455"/>
      <c r="H304" s="472"/>
      <c r="I304" s="474"/>
      <c r="J304" s="474"/>
      <c r="K304" s="472"/>
      <c r="L304" s="61"/>
      <c r="M304" s="61"/>
      <c r="N304" s="477"/>
      <c r="O304" s="62"/>
      <c r="P304" s="62"/>
      <c r="Q304" s="63"/>
      <c r="R304" s="63"/>
      <c r="S304" s="63"/>
      <c r="T304" s="64"/>
      <c r="U304" s="463"/>
      <c r="V304" s="463"/>
      <c r="W304" s="65"/>
      <c r="X304" s="66"/>
      <c r="Y304" s="67"/>
      <c r="Z304" s="67"/>
      <c r="AA304" s="67"/>
      <c r="AB304" s="68"/>
      <c r="AC304" s="69"/>
      <c r="AD304" s="466"/>
      <c r="AE304" s="70"/>
      <c r="AF304" s="71"/>
      <c r="AG304" s="72"/>
      <c r="AH304" s="469"/>
      <c r="AI304" s="469"/>
      <c r="AJ304" s="72"/>
      <c r="AK304" s="1"/>
      <c r="AL304" s="439"/>
      <c r="AM304" s="439"/>
      <c r="AN304" s="439"/>
      <c r="AO304" s="439"/>
      <c r="AP304" s="439"/>
      <c r="AQ304" s="439"/>
      <c r="AR304" s="439"/>
      <c r="AS304" s="439"/>
      <c r="AT304" s="29"/>
      <c r="AU304" s="30"/>
      <c r="AV304" s="30"/>
      <c r="AW304" s="30"/>
      <c r="AX304" s="30"/>
    </row>
    <row r="305" spans="1:50">
      <c r="A305" s="1"/>
      <c r="B305" s="441">
        <f>IF(B295="","",IF(B295+1&gt;$AB$3,"",B295+1))</f>
        <v>44681</v>
      </c>
      <c r="C305" s="444">
        <f>IF(C295="","",IF(C295+1&gt;$AB$3,"",C295+1))</f>
        <v>44681</v>
      </c>
      <c r="D305" s="447">
        <f>IF(C305="","",WEEKDAY(C305,1))</f>
        <v>7</v>
      </c>
      <c r="E305" s="450" t="str">
        <f>IF($D305="","",IF(NOT(ISERROR(MATCH($C305,祝日テーブル,0)=TRUE)),IF($D305=1,"法定","法定外"),IF($D305=1,"法定",IF($D305=7,"法定外",""))))</f>
        <v>法定外</v>
      </c>
      <c r="F305" s="453"/>
      <c r="G305" s="453"/>
      <c r="H305" s="470">
        <v>4.1666666666666664E-2</v>
      </c>
      <c r="I305" s="473"/>
      <c r="J305" s="473"/>
      <c r="K305" s="471"/>
      <c r="L305" s="32">
        <f t="shared" ref="L305" si="442">MOD(F305,100)+FLOOR(F305/100,1)*60</f>
        <v>0</v>
      </c>
      <c r="M305" s="32"/>
      <c r="N305" s="475"/>
      <c r="O305" s="33">
        <f t="shared" ref="O305" si="443">IF($I$3= "協力会社",M309,IF(L309&gt;=$L$12,$M$12,IF(L309&gt;0,M309,0)))</f>
        <v>0</v>
      </c>
      <c r="P305" s="33">
        <f t="shared" ref="P305" si="444">SUMIF(AB305:AB314,"1.00",AC305:AC314)+SUMIF(AB305:AB314,"振休取得",AC305:AC314)</f>
        <v>0</v>
      </c>
      <c r="Q305" s="34"/>
      <c r="R305" s="34"/>
      <c r="S305" s="34"/>
      <c r="T305" s="35"/>
      <c r="U305" s="462"/>
      <c r="V305" s="462"/>
      <c r="W305" s="36"/>
      <c r="X305" s="37"/>
      <c r="Y305" s="37"/>
      <c r="Z305" s="37"/>
      <c r="AA305" s="37"/>
      <c r="AB305" s="38"/>
      <c r="AC305" s="39"/>
      <c r="AD305" s="464"/>
      <c r="AE305" s="40"/>
      <c r="AF305" s="41"/>
      <c r="AG305" s="42"/>
      <c r="AH305" s="467"/>
      <c r="AI305" s="467"/>
      <c r="AJ305" s="73"/>
      <c r="AK305" s="1"/>
      <c r="AL305" s="437"/>
      <c r="AM305" s="437"/>
      <c r="AN305" s="437"/>
      <c r="AO305" s="437"/>
      <c r="AP305" s="437"/>
      <c r="AQ305" s="437"/>
      <c r="AR305" s="437"/>
      <c r="AS305" s="437"/>
      <c r="AT305" s="29"/>
      <c r="AU305" s="30"/>
      <c r="AV305" s="30"/>
      <c r="AW305" s="30"/>
      <c r="AX305" s="30"/>
    </row>
    <row r="306" spans="1:50" ht="11.25" customHeight="1">
      <c r="A306" s="1"/>
      <c r="B306" s="442"/>
      <c r="C306" s="445"/>
      <c r="D306" s="448"/>
      <c r="E306" s="451"/>
      <c r="F306" s="454"/>
      <c r="G306" s="454"/>
      <c r="H306" s="471"/>
      <c r="I306" s="473"/>
      <c r="J306" s="473"/>
      <c r="K306" s="471"/>
      <c r="L306" s="44">
        <f t="shared" ref="L306" si="445">MOD(G305,100)+FLOOR(G305/100,1)*60</f>
        <v>0</v>
      </c>
      <c r="M306" s="44"/>
      <c r="N306" s="476"/>
      <c r="O306" s="45"/>
      <c r="P306" s="46"/>
      <c r="Q306" s="47"/>
      <c r="R306" s="47"/>
      <c r="S306" s="47"/>
      <c r="T306" s="48"/>
      <c r="U306" s="462"/>
      <c r="V306" s="462"/>
      <c r="W306" s="36"/>
      <c r="X306" s="49"/>
      <c r="Y306" s="50"/>
      <c r="Z306" s="50"/>
      <c r="AA306" s="50"/>
      <c r="AB306" s="51"/>
      <c r="AC306" s="52"/>
      <c r="AD306" s="465"/>
      <c r="AE306" s="53"/>
      <c r="AF306" s="54"/>
      <c r="AG306" s="55"/>
      <c r="AH306" s="468"/>
      <c r="AI306" s="468"/>
      <c r="AJ306" s="55"/>
      <c r="AK306" s="1"/>
      <c r="AL306" s="438"/>
      <c r="AM306" s="438"/>
      <c r="AN306" s="438"/>
      <c r="AO306" s="438"/>
      <c r="AP306" s="438"/>
      <c r="AQ306" s="438"/>
      <c r="AR306" s="438"/>
      <c r="AS306" s="438"/>
      <c r="AT306" s="29"/>
      <c r="AU306" s="30"/>
      <c r="AV306" s="30"/>
      <c r="AW306" s="30"/>
      <c r="AX306" s="30"/>
    </row>
    <row r="307" spans="1:50" ht="11.25" customHeight="1">
      <c r="A307" s="1"/>
      <c r="B307" s="442"/>
      <c r="C307" s="445"/>
      <c r="D307" s="448"/>
      <c r="E307" s="451"/>
      <c r="F307" s="454"/>
      <c r="G307" s="454"/>
      <c r="H307" s="471"/>
      <c r="I307" s="473"/>
      <c r="J307" s="473"/>
      <c r="K307" s="471"/>
      <c r="L307" s="44">
        <f t="shared" ref="L307" si="446">L306-L305</f>
        <v>0</v>
      </c>
      <c r="M307" s="44"/>
      <c r="N307" s="476"/>
      <c r="O307" s="46"/>
      <c r="P307" s="45">
        <f t="shared" ref="P307" si="447">SUMIF(AB305:AB314,"有休",AC305:AC314)+SUMIF(AB305:AB314,"無給休",AC305:AC314)+SUMIF(AB305:AB314,"振休",AC305:AC314)+SUMIF(AB305:AB314,"特休",AC305:AC314)</f>
        <v>0</v>
      </c>
      <c r="Q307" s="47"/>
      <c r="R307" s="47"/>
      <c r="S307" s="47"/>
      <c r="T307" s="48"/>
      <c r="U307" s="462"/>
      <c r="V307" s="462"/>
      <c r="W307" s="36"/>
      <c r="X307" s="49"/>
      <c r="Y307" s="50"/>
      <c r="Z307" s="50"/>
      <c r="AA307" s="50"/>
      <c r="AB307" s="51"/>
      <c r="AC307" s="52"/>
      <c r="AD307" s="465"/>
      <c r="AE307" s="53"/>
      <c r="AF307" s="54"/>
      <c r="AG307" s="55"/>
      <c r="AH307" s="468"/>
      <c r="AI307" s="468"/>
      <c r="AJ307" s="54"/>
      <c r="AK307" s="1"/>
      <c r="AL307" s="438"/>
      <c r="AM307" s="438"/>
      <c r="AN307" s="438"/>
      <c r="AO307" s="438"/>
      <c r="AP307" s="438"/>
      <c r="AQ307" s="438"/>
      <c r="AR307" s="438"/>
      <c r="AS307" s="438"/>
      <c r="AT307" s="29"/>
      <c r="AU307" s="30"/>
      <c r="AV307" s="30"/>
      <c r="AW307" s="30"/>
      <c r="AX307" s="30"/>
    </row>
    <row r="308" spans="1:50" ht="11.25" customHeight="1">
      <c r="A308" s="1"/>
      <c r="B308" s="442"/>
      <c r="C308" s="445"/>
      <c r="D308" s="448"/>
      <c r="E308" s="451"/>
      <c r="F308" s="454"/>
      <c r="G308" s="454"/>
      <c r="H308" s="471"/>
      <c r="I308" s="473"/>
      <c r="J308" s="473"/>
      <c r="K308" s="471"/>
      <c r="L308" s="44">
        <f t="shared" ref="L308" si="448">ROUNDUP(L307/60,2)</f>
        <v>0</v>
      </c>
      <c r="M308" s="44"/>
      <c r="N308" s="476"/>
      <c r="O308" s="46"/>
      <c r="P308" s="46"/>
      <c r="Q308" s="47"/>
      <c r="R308" s="47"/>
      <c r="S308" s="47"/>
      <c r="T308" s="48"/>
      <c r="U308" s="462"/>
      <c r="V308" s="462"/>
      <c r="W308" s="36"/>
      <c r="X308" s="49"/>
      <c r="Y308" s="50"/>
      <c r="Z308" s="50"/>
      <c r="AA308" s="50"/>
      <c r="AB308" s="51"/>
      <c r="AC308" s="52"/>
      <c r="AD308" s="465"/>
      <c r="AE308" s="53"/>
      <c r="AF308" s="54"/>
      <c r="AG308" s="55"/>
      <c r="AH308" s="468"/>
      <c r="AI308" s="468"/>
      <c r="AJ308" s="55"/>
      <c r="AK308" s="1"/>
      <c r="AL308" s="438"/>
      <c r="AM308" s="438"/>
      <c r="AN308" s="438"/>
      <c r="AO308" s="438"/>
      <c r="AP308" s="438"/>
      <c r="AQ308" s="438"/>
      <c r="AR308" s="438"/>
      <c r="AS308" s="438"/>
      <c r="AT308" s="29"/>
      <c r="AU308" s="30"/>
      <c r="AV308" s="30"/>
      <c r="AW308" s="30"/>
      <c r="AX308" s="30"/>
    </row>
    <row r="309" spans="1:50" ht="11.25" customHeight="1">
      <c r="A309" s="1"/>
      <c r="B309" s="442"/>
      <c r="C309" s="445"/>
      <c r="D309" s="448"/>
      <c r="E309" s="451"/>
      <c r="F309" s="454"/>
      <c r="G309" s="454"/>
      <c r="H309" s="471"/>
      <c r="I309" s="473"/>
      <c r="J309" s="473"/>
      <c r="K309" s="471"/>
      <c r="L309" s="44">
        <f t="shared" ref="L309" si="449">IF(L308&gt;0,L308-HOUR(H305)-MINUTE(H305)/60,0)</f>
        <v>0</v>
      </c>
      <c r="M309" s="56">
        <f t="shared" ref="M309" si="450">TIME(L309-MOD(L309,1),MOD(L309,1)*60,0)</f>
        <v>0</v>
      </c>
      <c r="N309" s="476"/>
      <c r="O309" s="45">
        <f t="shared" ref="O309" si="451">M311</f>
        <v>0</v>
      </c>
      <c r="P309" s="45">
        <f t="shared" ref="P309" si="452">SUMIF(AB305:AB314,"1.25",AC305:AC314)+SUMIF(AB305:AB314,"他時間外",AC305:AC314)+SUMIF(AB305:AB314,"1.35",AC305:AC314)</f>
        <v>0</v>
      </c>
      <c r="Q309" s="47"/>
      <c r="R309" s="47"/>
      <c r="S309" s="47"/>
      <c r="T309" s="48"/>
      <c r="U309" s="462"/>
      <c r="V309" s="462"/>
      <c r="W309" s="36"/>
      <c r="X309" s="49"/>
      <c r="Y309" s="50"/>
      <c r="Z309" s="50"/>
      <c r="AA309" s="50"/>
      <c r="AB309" s="51"/>
      <c r="AC309" s="52"/>
      <c r="AD309" s="465"/>
      <c r="AE309" s="53"/>
      <c r="AF309" s="54"/>
      <c r="AG309" s="55"/>
      <c r="AH309" s="468"/>
      <c r="AI309" s="468"/>
      <c r="AJ309" s="55"/>
      <c r="AK309" s="1"/>
      <c r="AL309" s="438"/>
      <c r="AM309" s="438"/>
      <c r="AN309" s="438"/>
      <c r="AO309" s="438"/>
      <c r="AP309" s="438"/>
      <c r="AQ309" s="438"/>
      <c r="AR309" s="438"/>
      <c r="AS309" s="438"/>
      <c r="AT309" s="29"/>
      <c r="AU309" s="30"/>
      <c r="AV309" s="30"/>
      <c r="AW309" s="30"/>
      <c r="AX309" s="30"/>
    </row>
    <row r="310" spans="1:50" ht="11.25" customHeight="1">
      <c r="A310" s="1"/>
      <c r="B310" s="442"/>
      <c r="C310" s="445"/>
      <c r="D310" s="448"/>
      <c r="E310" s="451"/>
      <c r="F310" s="454"/>
      <c r="G310" s="454"/>
      <c r="H310" s="471"/>
      <c r="I310" s="473"/>
      <c r="J310" s="473"/>
      <c r="K310" s="471"/>
      <c r="L310" s="44">
        <f t="shared" ref="L310" si="453">L309-$L$12</f>
        <v>-7.75</v>
      </c>
      <c r="M310" s="44"/>
      <c r="N310" s="476"/>
      <c r="O310" s="46"/>
      <c r="P310" s="46"/>
      <c r="Q310" s="47"/>
      <c r="R310" s="47"/>
      <c r="S310" s="47"/>
      <c r="T310" s="48"/>
      <c r="U310" s="462"/>
      <c r="V310" s="462"/>
      <c r="W310" s="36"/>
      <c r="X310" s="49"/>
      <c r="Y310" s="50"/>
      <c r="Z310" s="50"/>
      <c r="AA310" s="50"/>
      <c r="AB310" s="51"/>
      <c r="AC310" s="52"/>
      <c r="AD310" s="465"/>
      <c r="AE310" s="53"/>
      <c r="AF310" s="54"/>
      <c r="AG310" s="55"/>
      <c r="AH310" s="468"/>
      <c r="AI310" s="468"/>
      <c r="AJ310" s="55"/>
      <c r="AK310" s="1"/>
      <c r="AL310" s="438"/>
      <c r="AM310" s="438"/>
      <c r="AN310" s="438"/>
      <c r="AO310" s="438"/>
      <c r="AP310" s="438"/>
      <c r="AQ310" s="438"/>
      <c r="AR310" s="438"/>
      <c r="AS310" s="438"/>
      <c r="AT310" s="29"/>
      <c r="AU310" s="30"/>
      <c r="AV310" s="30"/>
      <c r="AW310" s="30"/>
      <c r="AX310" s="30"/>
    </row>
    <row r="311" spans="1:50" ht="11.25" customHeight="1">
      <c r="A311" s="1"/>
      <c r="B311" s="442"/>
      <c r="C311" s="445"/>
      <c r="D311" s="448"/>
      <c r="E311" s="451"/>
      <c r="F311" s="454"/>
      <c r="G311" s="454"/>
      <c r="H311" s="471"/>
      <c r="I311" s="473"/>
      <c r="J311" s="473"/>
      <c r="K311" s="471"/>
      <c r="L311" s="44">
        <f t="shared" ref="L311" si="454">IF($I$3= "協力会社",0,IF(L310&gt;0,L310,0))</f>
        <v>0</v>
      </c>
      <c r="M311" s="56">
        <f t="shared" ref="M311" si="455">TIME(L311-MOD(L311,1),MOD(L311,1)*60,0)</f>
        <v>0</v>
      </c>
      <c r="N311" s="476"/>
      <c r="O311" s="46"/>
      <c r="P311" s="45">
        <f t="shared" ref="P311" si="456">SUMIF(AB305:AB314,"0.25深夜",AC305:AC314)</f>
        <v>0</v>
      </c>
      <c r="Q311" s="47"/>
      <c r="R311" s="47"/>
      <c r="S311" s="47"/>
      <c r="T311" s="48"/>
      <c r="U311" s="462"/>
      <c r="V311" s="462"/>
      <c r="W311" s="36"/>
      <c r="X311" s="49"/>
      <c r="Y311" s="50"/>
      <c r="Z311" s="50"/>
      <c r="AA311" s="50"/>
      <c r="AB311" s="51"/>
      <c r="AC311" s="52"/>
      <c r="AD311" s="465"/>
      <c r="AE311" s="53"/>
      <c r="AF311" s="54"/>
      <c r="AG311" s="55"/>
      <c r="AH311" s="468"/>
      <c r="AI311" s="468"/>
      <c r="AJ311" s="55"/>
      <c r="AK311" s="1"/>
      <c r="AL311" s="438"/>
      <c r="AM311" s="438"/>
      <c r="AN311" s="438"/>
      <c r="AO311" s="438"/>
      <c r="AP311" s="438"/>
      <c r="AQ311" s="438"/>
      <c r="AR311" s="438"/>
      <c r="AS311" s="438"/>
      <c r="AT311" s="29"/>
      <c r="AU311" s="30"/>
      <c r="AV311" s="30"/>
      <c r="AW311" s="30"/>
      <c r="AX311" s="30"/>
    </row>
    <row r="312" spans="1:50" ht="11.25" customHeight="1">
      <c r="A312" s="1"/>
      <c r="B312" s="442"/>
      <c r="C312" s="445"/>
      <c r="D312" s="448"/>
      <c r="E312" s="451"/>
      <c r="F312" s="454"/>
      <c r="G312" s="454"/>
      <c r="H312" s="471"/>
      <c r="I312" s="473"/>
      <c r="J312" s="473"/>
      <c r="K312" s="471"/>
      <c r="L312" s="44"/>
      <c r="M312" s="44"/>
      <c r="N312" s="476"/>
      <c r="O312" s="46"/>
      <c r="P312" s="46"/>
      <c r="Q312" s="47"/>
      <c r="R312" s="47"/>
      <c r="S312" s="47"/>
      <c r="T312" s="48"/>
      <c r="U312" s="462"/>
      <c r="V312" s="462"/>
      <c r="W312" s="36"/>
      <c r="X312" s="49"/>
      <c r="Y312" s="50"/>
      <c r="Z312" s="50"/>
      <c r="AA312" s="50"/>
      <c r="AB312" s="51"/>
      <c r="AC312" s="52"/>
      <c r="AD312" s="465"/>
      <c r="AE312" s="53"/>
      <c r="AF312" s="54"/>
      <c r="AG312" s="55"/>
      <c r="AH312" s="468"/>
      <c r="AI312" s="468"/>
      <c r="AJ312" s="55"/>
      <c r="AK312" s="1"/>
      <c r="AL312" s="438"/>
      <c r="AM312" s="438"/>
      <c r="AN312" s="438"/>
      <c r="AO312" s="438"/>
      <c r="AP312" s="438"/>
      <c r="AQ312" s="438"/>
      <c r="AR312" s="438"/>
      <c r="AS312" s="438"/>
      <c r="AT312" s="29"/>
      <c r="AU312" s="30"/>
      <c r="AV312" s="30"/>
      <c r="AW312" s="30"/>
      <c r="AX312" s="30"/>
    </row>
    <row r="313" spans="1:50" ht="11.25" customHeight="1">
      <c r="A313" s="1"/>
      <c r="B313" s="442"/>
      <c r="C313" s="445"/>
      <c r="D313" s="448"/>
      <c r="E313" s="451"/>
      <c r="F313" s="454"/>
      <c r="G313" s="454"/>
      <c r="H313" s="471"/>
      <c r="I313" s="473"/>
      <c r="J313" s="473"/>
      <c r="K313" s="471"/>
      <c r="L313" s="44"/>
      <c r="M313" s="44"/>
      <c r="N313" s="478"/>
      <c r="O313" s="57">
        <f t="shared" ref="O313" si="457">O305+O309</f>
        <v>0</v>
      </c>
      <c r="P313" s="57">
        <f t="shared" ref="P313" si="458">SUM(P305:P309)</f>
        <v>0</v>
      </c>
      <c r="Q313" s="47"/>
      <c r="R313" s="47"/>
      <c r="S313" s="47"/>
      <c r="T313" s="48"/>
      <c r="U313" s="462"/>
      <c r="V313" s="462"/>
      <c r="W313" s="36"/>
      <c r="X313" s="49"/>
      <c r="Y313" s="49"/>
      <c r="Z313" s="49"/>
      <c r="AA313" s="49"/>
      <c r="AB313" s="51"/>
      <c r="AC313" s="52"/>
      <c r="AD313" s="465"/>
      <c r="AE313" s="53"/>
      <c r="AF313" s="59"/>
      <c r="AG313" s="60"/>
      <c r="AH313" s="468"/>
      <c r="AI313" s="468"/>
      <c r="AJ313" s="55"/>
      <c r="AK313" s="1"/>
      <c r="AL313" s="438"/>
      <c r="AM313" s="438"/>
      <c r="AN313" s="438"/>
      <c r="AO313" s="438"/>
      <c r="AP313" s="438"/>
      <c r="AQ313" s="438"/>
      <c r="AR313" s="438"/>
      <c r="AS313" s="438"/>
      <c r="AT313" s="29"/>
      <c r="AU313" s="30"/>
      <c r="AV313" s="30"/>
      <c r="AW313" s="30"/>
      <c r="AX313" s="30"/>
    </row>
    <row r="314" spans="1:50" ht="11.25" customHeight="1">
      <c r="A314" s="1"/>
      <c r="B314" s="443"/>
      <c r="C314" s="446"/>
      <c r="D314" s="449"/>
      <c r="E314" s="452"/>
      <c r="F314" s="455"/>
      <c r="G314" s="455"/>
      <c r="H314" s="472"/>
      <c r="I314" s="474"/>
      <c r="J314" s="474"/>
      <c r="K314" s="472"/>
      <c r="L314" s="61"/>
      <c r="M314" s="61"/>
      <c r="N314" s="477"/>
      <c r="O314" s="62"/>
      <c r="P314" s="62"/>
      <c r="Q314" s="63"/>
      <c r="R314" s="63"/>
      <c r="S314" s="63"/>
      <c r="T314" s="64"/>
      <c r="U314" s="463"/>
      <c r="V314" s="463"/>
      <c r="W314" s="65"/>
      <c r="X314" s="66"/>
      <c r="Y314" s="67"/>
      <c r="Z314" s="67"/>
      <c r="AA314" s="67"/>
      <c r="AB314" s="68"/>
      <c r="AC314" s="69"/>
      <c r="AD314" s="466"/>
      <c r="AE314" s="70"/>
      <c r="AF314" s="71"/>
      <c r="AG314" s="72"/>
      <c r="AH314" s="469"/>
      <c r="AI314" s="469"/>
      <c r="AJ314" s="72"/>
      <c r="AK314" s="1"/>
      <c r="AL314" s="439"/>
      <c r="AM314" s="439"/>
      <c r="AN314" s="439"/>
      <c r="AO314" s="439"/>
      <c r="AP314" s="439"/>
      <c r="AQ314" s="439"/>
      <c r="AR314" s="439"/>
      <c r="AS314" s="439"/>
      <c r="AT314" s="29"/>
      <c r="AU314" s="30"/>
      <c r="AV314" s="30"/>
      <c r="AW314" s="30"/>
      <c r="AX314" s="30"/>
    </row>
    <row r="315" spans="1:50">
      <c r="A315" s="1"/>
      <c r="B315" s="441" t="str">
        <f>IF(B305="","",IF(B305+1&gt;$AB$3,"",B305+1))</f>
        <v/>
      </c>
      <c r="C315" s="444" t="str">
        <f>IF(C305="","",IF(C305+1&gt;$AB$3,"",C305+1))</f>
        <v/>
      </c>
      <c r="D315" s="447" t="str">
        <f>IF(C315="","",WEEKDAY(C315,1))</f>
        <v/>
      </c>
      <c r="E315" s="450" t="str">
        <f>IF($D315="","",IF(NOT(ISERROR(MATCH($C315,祝日テーブル,0)=TRUE)),IF($D315=1,"法定","法定外"),IF($D315=1,"法定",IF($D315=7,"法定外",""))))</f>
        <v/>
      </c>
      <c r="F315" s="453"/>
      <c r="G315" s="453"/>
      <c r="H315" s="470">
        <v>4.1666666666666664E-2</v>
      </c>
      <c r="I315" s="473"/>
      <c r="J315" s="473"/>
      <c r="K315" s="471"/>
      <c r="L315" s="32">
        <f t="shared" ref="L315" si="459">MOD(F315,100)+FLOOR(F315/100,1)*60</f>
        <v>0</v>
      </c>
      <c r="M315" s="32"/>
      <c r="N315" s="475"/>
      <c r="O315" s="33">
        <f t="shared" ref="O315" si="460">IF($I$3= "協力会社",M319,IF(L319&gt;=$L$12,$M$12,IF(L319&gt;0,M319,0)))</f>
        <v>0</v>
      </c>
      <c r="P315" s="33">
        <f t="shared" ref="P315" si="461">SUMIF(AB315:AB324,"1.00",AC315:AC324)+SUMIF(AB315:AB324,"振休取得",AC315:AC324)</f>
        <v>0</v>
      </c>
      <c r="Q315" s="34"/>
      <c r="R315" s="34"/>
      <c r="S315" s="34"/>
      <c r="T315" s="35"/>
      <c r="U315" s="462"/>
      <c r="V315" s="462"/>
      <c r="W315" s="36"/>
      <c r="X315" s="37"/>
      <c r="Y315" s="37"/>
      <c r="Z315" s="37"/>
      <c r="AA315" s="37"/>
      <c r="AB315" s="38"/>
      <c r="AC315" s="39"/>
      <c r="AD315" s="464"/>
      <c r="AE315" s="40"/>
      <c r="AF315" s="41"/>
      <c r="AG315" s="42"/>
      <c r="AH315" s="467"/>
      <c r="AI315" s="467"/>
      <c r="AJ315" s="73"/>
      <c r="AK315" s="1"/>
      <c r="AL315" s="437"/>
      <c r="AM315" s="437"/>
      <c r="AN315" s="437"/>
      <c r="AO315" s="437"/>
      <c r="AP315" s="437"/>
      <c r="AQ315" s="437"/>
      <c r="AR315" s="437"/>
      <c r="AS315" s="437"/>
      <c r="AT315" s="29"/>
      <c r="AU315" s="30"/>
      <c r="AV315" s="30"/>
      <c r="AW315" s="30"/>
      <c r="AX315" s="30"/>
    </row>
    <row r="316" spans="1:50" ht="11.25" customHeight="1">
      <c r="A316" s="1"/>
      <c r="B316" s="442"/>
      <c r="C316" s="445"/>
      <c r="D316" s="448"/>
      <c r="E316" s="451"/>
      <c r="F316" s="454"/>
      <c r="G316" s="454"/>
      <c r="H316" s="471"/>
      <c r="I316" s="473"/>
      <c r="J316" s="473"/>
      <c r="K316" s="471"/>
      <c r="L316" s="44">
        <f t="shared" ref="L316" si="462">MOD(G315,100)+FLOOR(G315/100,1)*60</f>
        <v>0</v>
      </c>
      <c r="M316" s="44"/>
      <c r="N316" s="476"/>
      <c r="O316" s="45"/>
      <c r="P316" s="46"/>
      <c r="Q316" s="47"/>
      <c r="R316" s="47"/>
      <c r="S316" s="47"/>
      <c r="T316" s="48"/>
      <c r="U316" s="462"/>
      <c r="V316" s="462"/>
      <c r="W316" s="36"/>
      <c r="X316" s="49"/>
      <c r="Y316" s="50"/>
      <c r="Z316" s="50"/>
      <c r="AA316" s="50"/>
      <c r="AB316" s="51"/>
      <c r="AC316" s="52"/>
      <c r="AD316" s="465"/>
      <c r="AE316" s="53"/>
      <c r="AF316" s="54"/>
      <c r="AG316" s="55"/>
      <c r="AH316" s="468"/>
      <c r="AI316" s="468"/>
      <c r="AJ316" s="55"/>
      <c r="AK316" s="1"/>
      <c r="AL316" s="438"/>
      <c r="AM316" s="438"/>
      <c r="AN316" s="438"/>
      <c r="AO316" s="438"/>
      <c r="AP316" s="438"/>
      <c r="AQ316" s="438"/>
      <c r="AR316" s="438"/>
      <c r="AS316" s="438"/>
      <c r="AT316" s="29"/>
      <c r="AU316" s="30"/>
      <c r="AV316" s="30"/>
      <c r="AW316" s="30"/>
      <c r="AX316" s="30"/>
    </row>
    <row r="317" spans="1:50" ht="11.25" customHeight="1">
      <c r="A317" s="1"/>
      <c r="B317" s="442"/>
      <c r="C317" s="445"/>
      <c r="D317" s="448"/>
      <c r="E317" s="451"/>
      <c r="F317" s="454"/>
      <c r="G317" s="454"/>
      <c r="H317" s="471"/>
      <c r="I317" s="473"/>
      <c r="J317" s="473"/>
      <c r="K317" s="471"/>
      <c r="L317" s="44">
        <f t="shared" ref="L317" si="463">L316-L315</f>
        <v>0</v>
      </c>
      <c r="M317" s="44"/>
      <c r="N317" s="476"/>
      <c r="O317" s="46"/>
      <c r="P317" s="45">
        <f t="shared" ref="P317" si="464">SUMIF(AB315:AB324,"有休",AC315:AC324)+SUMIF(AB315:AB324,"無給休",AC315:AC324)+SUMIF(AB315:AB324,"振休",AC315:AC324)+SUMIF(AB315:AB324,"特休",AC315:AC324)</f>
        <v>0</v>
      </c>
      <c r="Q317" s="47"/>
      <c r="R317" s="47"/>
      <c r="S317" s="47"/>
      <c r="T317" s="48"/>
      <c r="U317" s="462"/>
      <c r="V317" s="462"/>
      <c r="W317" s="36"/>
      <c r="X317" s="49"/>
      <c r="Y317" s="50"/>
      <c r="Z317" s="50"/>
      <c r="AA317" s="50"/>
      <c r="AB317" s="51"/>
      <c r="AC317" s="52"/>
      <c r="AD317" s="465"/>
      <c r="AE317" s="53"/>
      <c r="AF317" s="54"/>
      <c r="AG317" s="55"/>
      <c r="AH317" s="468"/>
      <c r="AI317" s="468"/>
      <c r="AJ317" s="54"/>
      <c r="AK317" s="1"/>
      <c r="AL317" s="438"/>
      <c r="AM317" s="438"/>
      <c r="AN317" s="438"/>
      <c r="AO317" s="438"/>
      <c r="AP317" s="438"/>
      <c r="AQ317" s="438"/>
      <c r="AR317" s="438"/>
      <c r="AS317" s="438"/>
      <c r="AT317" s="29"/>
      <c r="AU317" s="30"/>
      <c r="AV317" s="30"/>
      <c r="AW317" s="30"/>
      <c r="AX317" s="30"/>
    </row>
    <row r="318" spans="1:50" ht="11.25" customHeight="1">
      <c r="A318" s="1"/>
      <c r="B318" s="442"/>
      <c r="C318" s="445"/>
      <c r="D318" s="448"/>
      <c r="E318" s="451"/>
      <c r="F318" s="454"/>
      <c r="G318" s="454"/>
      <c r="H318" s="471"/>
      <c r="I318" s="473"/>
      <c r="J318" s="473"/>
      <c r="K318" s="471"/>
      <c r="L318" s="44">
        <f t="shared" ref="L318" si="465">ROUNDUP(L317/60,2)</f>
        <v>0</v>
      </c>
      <c r="M318" s="44"/>
      <c r="N318" s="476"/>
      <c r="O318" s="46"/>
      <c r="P318" s="46"/>
      <c r="Q318" s="47"/>
      <c r="R318" s="47"/>
      <c r="S318" s="47"/>
      <c r="T318" s="48"/>
      <c r="U318" s="462"/>
      <c r="V318" s="462"/>
      <c r="W318" s="36"/>
      <c r="X318" s="49"/>
      <c r="Y318" s="50"/>
      <c r="Z318" s="50"/>
      <c r="AA318" s="50"/>
      <c r="AB318" s="51"/>
      <c r="AC318" s="52"/>
      <c r="AD318" s="465"/>
      <c r="AE318" s="53"/>
      <c r="AF318" s="54"/>
      <c r="AG318" s="55"/>
      <c r="AH318" s="468"/>
      <c r="AI318" s="468"/>
      <c r="AJ318" s="55"/>
      <c r="AK318" s="1"/>
      <c r="AL318" s="438"/>
      <c r="AM318" s="438"/>
      <c r="AN318" s="438"/>
      <c r="AO318" s="438"/>
      <c r="AP318" s="438"/>
      <c r="AQ318" s="438"/>
      <c r="AR318" s="438"/>
      <c r="AS318" s="438"/>
      <c r="AT318" s="29"/>
      <c r="AU318" s="30"/>
      <c r="AV318" s="30"/>
      <c r="AW318" s="30"/>
      <c r="AX318" s="30"/>
    </row>
    <row r="319" spans="1:50" ht="11.25" customHeight="1">
      <c r="A319" s="1"/>
      <c r="B319" s="442"/>
      <c r="C319" s="445"/>
      <c r="D319" s="448"/>
      <c r="E319" s="451"/>
      <c r="F319" s="454"/>
      <c r="G319" s="454"/>
      <c r="H319" s="471"/>
      <c r="I319" s="473"/>
      <c r="J319" s="473"/>
      <c r="K319" s="471"/>
      <c r="L319" s="44">
        <f t="shared" ref="L319" si="466">IF(L318&gt;0,L318-HOUR(H315)-MINUTE(H315)/60,0)</f>
        <v>0</v>
      </c>
      <c r="M319" s="56">
        <f t="shared" ref="M319" si="467">TIME(L319-MOD(L319,1),MOD(L319,1)*60,0)</f>
        <v>0</v>
      </c>
      <c r="N319" s="476"/>
      <c r="O319" s="45">
        <f t="shared" ref="O319" si="468">M321</f>
        <v>0</v>
      </c>
      <c r="P319" s="45">
        <f t="shared" ref="P319" si="469">SUMIF(AB315:AB324,"1.25",AC315:AC324)+SUMIF(AB315:AB324,"他時間外",AC315:AC324)+SUMIF(AB315:AB324,"1.35",AC315:AC324)</f>
        <v>0</v>
      </c>
      <c r="Q319" s="47"/>
      <c r="R319" s="47"/>
      <c r="S319" s="47"/>
      <c r="T319" s="48"/>
      <c r="U319" s="462"/>
      <c r="V319" s="462"/>
      <c r="W319" s="36"/>
      <c r="X319" s="49"/>
      <c r="Y319" s="50"/>
      <c r="Z319" s="50"/>
      <c r="AA319" s="50"/>
      <c r="AB319" s="51"/>
      <c r="AC319" s="52"/>
      <c r="AD319" s="465"/>
      <c r="AE319" s="53"/>
      <c r="AF319" s="54"/>
      <c r="AG319" s="55"/>
      <c r="AH319" s="468"/>
      <c r="AI319" s="468"/>
      <c r="AJ319" s="55"/>
      <c r="AK319" s="1"/>
      <c r="AL319" s="438"/>
      <c r="AM319" s="438"/>
      <c r="AN319" s="438"/>
      <c r="AO319" s="438"/>
      <c r="AP319" s="438"/>
      <c r="AQ319" s="438"/>
      <c r="AR319" s="438"/>
      <c r="AS319" s="438"/>
      <c r="AT319" s="29"/>
      <c r="AU319" s="30"/>
      <c r="AV319" s="30"/>
      <c r="AW319" s="30"/>
      <c r="AX319" s="30"/>
    </row>
    <row r="320" spans="1:50" ht="11.25" customHeight="1">
      <c r="A320" s="1"/>
      <c r="B320" s="442"/>
      <c r="C320" s="445"/>
      <c r="D320" s="448"/>
      <c r="E320" s="451"/>
      <c r="F320" s="454"/>
      <c r="G320" s="454"/>
      <c r="H320" s="471"/>
      <c r="I320" s="473"/>
      <c r="J320" s="473"/>
      <c r="K320" s="471"/>
      <c r="L320" s="44">
        <f t="shared" ref="L320" si="470">L319-$L$12</f>
        <v>-7.75</v>
      </c>
      <c r="M320" s="44"/>
      <c r="N320" s="476"/>
      <c r="O320" s="46"/>
      <c r="P320" s="46"/>
      <c r="Q320" s="47"/>
      <c r="R320" s="47"/>
      <c r="S320" s="47"/>
      <c r="T320" s="48"/>
      <c r="U320" s="462"/>
      <c r="V320" s="462"/>
      <c r="W320" s="36"/>
      <c r="X320" s="49"/>
      <c r="Y320" s="50"/>
      <c r="Z320" s="50"/>
      <c r="AA320" s="50"/>
      <c r="AB320" s="51"/>
      <c r="AC320" s="52"/>
      <c r="AD320" s="465"/>
      <c r="AE320" s="53"/>
      <c r="AF320" s="54"/>
      <c r="AG320" s="55"/>
      <c r="AH320" s="468"/>
      <c r="AI320" s="468"/>
      <c r="AJ320" s="55"/>
      <c r="AK320" s="1"/>
      <c r="AL320" s="438"/>
      <c r="AM320" s="438"/>
      <c r="AN320" s="438"/>
      <c r="AO320" s="438"/>
      <c r="AP320" s="438"/>
      <c r="AQ320" s="438"/>
      <c r="AR320" s="438"/>
      <c r="AS320" s="438"/>
      <c r="AT320" s="29"/>
      <c r="AU320" s="30"/>
      <c r="AV320" s="30"/>
      <c r="AW320" s="30"/>
      <c r="AX320" s="30"/>
    </row>
    <row r="321" spans="1:50" ht="11.25" customHeight="1">
      <c r="A321" s="1"/>
      <c r="B321" s="442"/>
      <c r="C321" s="445"/>
      <c r="D321" s="448"/>
      <c r="E321" s="451"/>
      <c r="F321" s="454"/>
      <c r="G321" s="454"/>
      <c r="H321" s="471"/>
      <c r="I321" s="473"/>
      <c r="J321" s="473"/>
      <c r="K321" s="471"/>
      <c r="L321" s="44">
        <f t="shared" ref="L321" si="471">IF($I$3= "協力会社",0,IF(L320&gt;0,L320,0))</f>
        <v>0</v>
      </c>
      <c r="M321" s="56">
        <f t="shared" ref="M321" si="472">TIME(L321-MOD(L321,1),MOD(L321,1)*60,0)</f>
        <v>0</v>
      </c>
      <c r="N321" s="476"/>
      <c r="O321" s="46"/>
      <c r="P321" s="45">
        <f t="shared" ref="P321" si="473">SUMIF(AB315:AB324,"0.25深夜",AC315:AC324)</f>
        <v>0</v>
      </c>
      <c r="Q321" s="47"/>
      <c r="R321" s="47"/>
      <c r="S321" s="47"/>
      <c r="T321" s="48"/>
      <c r="U321" s="462"/>
      <c r="V321" s="462"/>
      <c r="W321" s="36"/>
      <c r="X321" s="49"/>
      <c r="Y321" s="50"/>
      <c r="Z321" s="50"/>
      <c r="AA321" s="50"/>
      <c r="AB321" s="51"/>
      <c r="AC321" s="52"/>
      <c r="AD321" s="465"/>
      <c r="AE321" s="53"/>
      <c r="AF321" s="54"/>
      <c r="AG321" s="55"/>
      <c r="AH321" s="468"/>
      <c r="AI321" s="468"/>
      <c r="AJ321" s="55"/>
      <c r="AK321" s="1"/>
      <c r="AL321" s="438"/>
      <c r="AM321" s="438"/>
      <c r="AN321" s="438"/>
      <c r="AO321" s="438"/>
      <c r="AP321" s="438"/>
      <c r="AQ321" s="438"/>
      <c r="AR321" s="438"/>
      <c r="AS321" s="438"/>
      <c r="AT321" s="29"/>
      <c r="AU321" s="30"/>
      <c r="AV321" s="30"/>
      <c r="AW321" s="30"/>
      <c r="AX321" s="30"/>
    </row>
    <row r="322" spans="1:50" ht="11.25" customHeight="1">
      <c r="A322" s="1"/>
      <c r="B322" s="442"/>
      <c r="C322" s="445"/>
      <c r="D322" s="448"/>
      <c r="E322" s="451"/>
      <c r="F322" s="454"/>
      <c r="G322" s="454"/>
      <c r="H322" s="471"/>
      <c r="I322" s="473"/>
      <c r="J322" s="473"/>
      <c r="K322" s="471"/>
      <c r="L322" s="44"/>
      <c r="M322" s="44"/>
      <c r="N322" s="476"/>
      <c r="O322" s="46"/>
      <c r="P322" s="46"/>
      <c r="Q322" s="47"/>
      <c r="R322" s="47"/>
      <c r="S322" s="47"/>
      <c r="T322" s="48"/>
      <c r="U322" s="462"/>
      <c r="V322" s="462"/>
      <c r="W322" s="36"/>
      <c r="X322" s="49"/>
      <c r="Y322" s="50"/>
      <c r="Z322" s="50"/>
      <c r="AA322" s="50"/>
      <c r="AB322" s="51"/>
      <c r="AC322" s="52"/>
      <c r="AD322" s="465"/>
      <c r="AE322" s="53"/>
      <c r="AF322" s="54"/>
      <c r="AG322" s="55"/>
      <c r="AH322" s="468"/>
      <c r="AI322" s="468"/>
      <c r="AJ322" s="55"/>
      <c r="AK322" s="1"/>
      <c r="AL322" s="438"/>
      <c r="AM322" s="438"/>
      <c r="AN322" s="438"/>
      <c r="AO322" s="438"/>
      <c r="AP322" s="438"/>
      <c r="AQ322" s="438"/>
      <c r="AR322" s="438"/>
      <c r="AS322" s="438"/>
      <c r="AT322" s="29"/>
      <c r="AU322" s="30"/>
      <c r="AV322" s="30"/>
      <c r="AW322" s="30"/>
      <c r="AX322" s="30"/>
    </row>
    <row r="323" spans="1:50" ht="11.25" customHeight="1">
      <c r="A323" s="1"/>
      <c r="B323" s="442"/>
      <c r="C323" s="445"/>
      <c r="D323" s="448"/>
      <c r="E323" s="451"/>
      <c r="F323" s="454"/>
      <c r="G323" s="454"/>
      <c r="H323" s="471"/>
      <c r="I323" s="473"/>
      <c r="J323" s="473"/>
      <c r="K323" s="471"/>
      <c r="L323" s="44"/>
      <c r="M323" s="44"/>
      <c r="N323" s="478"/>
      <c r="O323" s="57">
        <f t="shared" ref="O323" si="474">O315+O319</f>
        <v>0</v>
      </c>
      <c r="P323" s="57">
        <f t="shared" ref="P323" si="475">SUM(P315:P319)</f>
        <v>0</v>
      </c>
      <c r="Q323" s="47"/>
      <c r="R323" s="47"/>
      <c r="S323" s="47"/>
      <c r="T323" s="48"/>
      <c r="U323" s="462"/>
      <c r="V323" s="462"/>
      <c r="W323" s="36"/>
      <c r="X323" s="49"/>
      <c r="Y323" s="49"/>
      <c r="Z323" s="49"/>
      <c r="AA323" s="49"/>
      <c r="AB323" s="51"/>
      <c r="AC323" s="52"/>
      <c r="AD323" s="465"/>
      <c r="AE323" s="53"/>
      <c r="AF323" s="59"/>
      <c r="AG323" s="60"/>
      <c r="AH323" s="468"/>
      <c r="AI323" s="468"/>
      <c r="AJ323" s="55"/>
      <c r="AK323" s="1"/>
      <c r="AL323" s="438"/>
      <c r="AM323" s="438"/>
      <c r="AN323" s="438"/>
      <c r="AO323" s="438"/>
      <c r="AP323" s="438"/>
      <c r="AQ323" s="438"/>
      <c r="AR323" s="438"/>
      <c r="AS323" s="438"/>
      <c r="AT323" s="29"/>
      <c r="AU323" s="30"/>
      <c r="AV323" s="30"/>
      <c r="AW323" s="30"/>
      <c r="AX323" s="30"/>
    </row>
    <row r="324" spans="1:50" ht="11.25" customHeight="1">
      <c r="A324" s="1"/>
      <c r="B324" s="443"/>
      <c r="C324" s="446"/>
      <c r="D324" s="449"/>
      <c r="E324" s="452"/>
      <c r="F324" s="455"/>
      <c r="G324" s="455"/>
      <c r="H324" s="472"/>
      <c r="I324" s="474"/>
      <c r="J324" s="474"/>
      <c r="K324" s="472"/>
      <c r="L324" s="61"/>
      <c r="M324" s="61"/>
      <c r="N324" s="477"/>
      <c r="O324" s="62"/>
      <c r="P324" s="62"/>
      <c r="Q324" s="63"/>
      <c r="R324" s="63"/>
      <c r="S324" s="63"/>
      <c r="T324" s="64"/>
      <c r="U324" s="463"/>
      <c r="V324" s="463"/>
      <c r="W324" s="65"/>
      <c r="X324" s="66"/>
      <c r="Y324" s="67"/>
      <c r="Z324" s="67"/>
      <c r="AA324" s="67"/>
      <c r="AB324" s="68"/>
      <c r="AC324" s="69"/>
      <c r="AD324" s="466"/>
      <c r="AE324" s="70"/>
      <c r="AF324" s="71"/>
      <c r="AG324" s="72"/>
      <c r="AH324" s="469"/>
      <c r="AI324" s="469"/>
      <c r="AJ324" s="72"/>
      <c r="AK324" s="1"/>
      <c r="AL324" s="439"/>
      <c r="AM324" s="439"/>
      <c r="AN324" s="439"/>
      <c r="AO324" s="439"/>
      <c r="AP324" s="439"/>
      <c r="AQ324" s="439"/>
      <c r="AR324" s="439"/>
      <c r="AS324" s="439"/>
      <c r="AT324" s="29"/>
      <c r="AU324" s="30"/>
      <c r="AV324" s="30"/>
      <c r="AW324" s="30"/>
      <c r="AX324" s="30"/>
    </row>
    <row r="325" spans="1:50">
      <c r="A325" s="1"/>
      <c r="B325" s="441" t="str">
        <f>IF(B315="","",IF(B315+1&gt;$AB$3,"",B315+1))</f>
        <v/>
      </c>
      <c r="C325" s="444" t="str">
        <f>IF(C315="","",IF(C315+1&gt;$AB$3,"",C315+1))</f>
        <v/>
      </c>
      <c r="D325" s="447" t="str">
        <f>IF(C325="","",WEEKDAY(C325,1))</f>
        <v/>
      </c>
      <c r="E325" s="450" t="str">
        <f>IF($D325="","",IF(NOT(ISERROR(MATCH($C325,祝日テーブル,0)=TRUE)),IF($D325=1,"法定","法定外"),IF($D325=1,"法定",IF($D325=7,"法定外",""))))</f>
        <v/>
      </c>
      <c r="F325" s="453"/>
      <c r="G325" s="453"/>
      <c r="H325" s="470">
        <v>4.1666666666666664E-2</v>
      </c>
      <c r="I325" s="473"/>
      <c r="J325" s="473"/>
      <c r="K325" s="471"/>
      <c r="L325" s="32">
        <f t="shared" ref="L325" si="476">MOD(F325,100)+FLOOR(F325/100,1)*60</f>
        <v>0</v>
      </c>
      <c r="M325" s="32"/>
      <c r="N325" s="475"/>
      <c r="O325" s="33">
        <f t="shared" ref="O325" si="477">IF($I$3= "協力会社",M329,IF(L329&gt;=$L$12,$M$12,IF(L329&gt;0,M329,0)))</f>
        <v>0</v>
      </c>
      <c r="P325" s="33">
        <f t="shared" ref="P325" si="478">SUMIF(AB325:AB334,"1.00",AC325:AC334)+SUMIF(AB325:AB334,"振休取得",AC325:AC334)</f>
        <v>0</v>
      </c>
      <c r="Q325" s="34"/>
      <c r="R325" s="34"/>
      <c r="S325" s="34"/>
      <c r="T325" s="35"/>
      <c r="U325" s="462"/>
      <c r="V325" s="462"/>
      <c r="W325" s="36"/>
      <c r="X325" s="37"/>
      <c r="Y325" s="37"/>
      <c r="Z325" s="37"/>
      <c r="AA325" s="37"/>
      <c r="AB325" s="38"/>
      <c r="AC325" s="39"/>
      <c r="AD325" s="464"/>
      <c r="AE325" s="40"/>
      <c r="AF325" s="41"/>
      <c r="AG325" s="42"/>
      <c r="AH325" s="467"/>
      <c r="AI325" s="467"/>
      <c r="AJ325" s="73"/>
      <c r="AK325" s="1"/>
      <c r="AL325" s="437"/>
      <c r="AM325" s="437"/>
      <c r="AN325" s="437"/>
      <c r="AO325" s="437"/>
      <c r="AP325" s="437"/>
      <c r="AQ325" s="437"/>
      <c r="AR325" s="437"/>
      <c r="AS325" s="437"/>
      <c r="AT325" s="29"/>
      <c r="AU325" s="30"/>
      <c r="AV325" s="30"/>
      <c r="AW325" s="30"/>
      <c r="AX325" s="30"/>
    </row>
    <row r="326" spans="1:50" ht="11.25" customHeight="1">
      <c r="A326" s="1"/>
      <c r="B326" s="442"/>
      <c r="C326" s="445"/>
      <c r="D326" s="448"/>
      <c r="E326" s="451"/>
      <c r="F326" s="454"/>
      <c r="G326" s="454"/>
      <c r="H326" s="471"/>
      <c r="I326" s="473"/>
      <c r="J326" s="473"/>
      <c r="K326" s="471"/>
      <c r="L326" s="44">
        <f t="shared" ref="L326" si="479">MOD(G325,100)+FLOOR(G325/100,1)*60</f>
        <v>0</v>
      </c>
      <c r="M326" s="44"/>
      <c r="N326" s="476"/>
      <c r="O326" s="45"/>
      <c r="P326" s="46"/>
      <c r="Q326" s="47"/>
      <c r="R326" s="47"/>
      <c r="S326" s="47"/>
      <c r="T326" s="48"/>
      <c r="U326" s="462"/>
      <c r="V326" s="462"/>
      <c r="W326" s="36"/>
      <c r="X326" s="49"/>
      <c r="Y326" s="50"/>
      <c r="Z326" s="50"/>
      <c r="AA326" s="50"/>
      <c r="AB326" s="51"/>
      <c r="AC326" s="52"/>
      <c r="AD326" s="465"/>
      <c r="AE326" s="53"/>
      <c r="AF326" s="54"/>
      <c r="AG326" s="55"/>
      <c r="AH326" s="468"/>
      <c r="AI326" s="468"/>
      <c r="AJ326" s="55"/>
      <c r="AK326" s="1"/>
      <c r="AL326" s="438"/>
      <c r="AM326" s="438"/>
      <c r="AN326" s="438"/>
      <c r="AO326" s="438"/>
      <c r="AP326" s="438"/>
      <c r="AQ326" s="438"/>
      <c r="AR326" s="438"/>
      <c r="AS326" s="438"/>
      <c r="AT326" s="29"/>
      <c r="AU326" s="30"/>
      <c r="AV326" s="30"/>
      <c r="AW326" s="30"/>
      <c r="AX326" s="30"/>
    </row>
    <row r="327" spans="1:50" ht="11.25" customHeight="1">
      <c r="A327" s="1"/>
      <c r="B327" s="442"/>
      <c r="C327" s="445"/>
      <c r="D327" s="448"/>
      <c r="E327" s="451"/>
      <c r="F327" s="454"/>
      <c r="G327" s="454"/>
      <c r="H327" s="471"/>
      <c r="I327" s="473"/>
      <c r="J327" s="473"/>
      <c r="K327" s="471"/>
      <c r="L327" s="44">
        <f t="shared" ref="L327" si="480">L326-L325</f>
        <v>0</v>
      </c>
      <c r="M327" s="44"/>
      <c r="N327" s="476"/>
      <c r="O327" s="46"/>
      <c r="P327" s="45">
        <f t="shared" ref="P327" si="481">SUMIF(AB325:AB334,"有休",AC325:AC334)+SUMIF(AB325:AB334,"無給休",AC325:AC334)+SUMIF(AB325:AB334,"振休",AC325:AC334)+SUMIF(AB325:AB334,"特休",AC325:AC334)</f>
        <v>0</v>
      </c>
      <c r="Q327" s="47"/>
      <c r="R327" s="47"/>
      <c r="S327" s="47"/>
      <c r="T327" s="48"/>
      <c r="U327" s="462"/>
      <c r="V327" s="462"/>
      <c r="W327" s="36"/>
      <c r="X327" s="49"/>
      <c r="Y327" s="50"/>
      <c r="Z327" s="50"/>
      <c r="AA327" s="50"/>
      <c r="AB327" s="51"/>
      <c r="AC327" s="52"/>
      <c r="AD327" s="465"/>
      <c r="AE327" s="53"/>
      <c r="AF327" s="54"/>
      <c r="AG327" s="55"/>
      <c r="AH327" s="468"/>
      <c r="AI327" s="468"/>
      <c r="AJ327" s="54"/>
      <c r="AK327" s="1"/>
      <c r="AL327" s="438"/>
      <c r="AM327" s="438"/>
      <c r="AN327" s="438"/>
      <c r="AO327" s="438"/>
      <c r="AP327" s="438"/>
      <c r="AQ327" s="438"/>
      <c r="AR327" s="438"/>
      <c r="AS327" s="438"/>
      <c r="AT327" s="29"/>
      <c r="AU327" s="30"/>
      <c r="AV327" s="30"/>
      <c r="AW327" s="30"/>
      <c r="AX327" s="30"/>
    </row>
    <row r="328" spans="1:50" ht="11.25" customHeight="1">
      <c r="A328" s="1"/>
      <c r="B328" s="442"/>
      <c r="C328" s="445"/>
      <c r="D328" s="448"/>
      <c r="E328" s="451"/>
      <c r="F328" s="454"/>
      <c r="G328" s="454"/>
      <c r="H328" s="471"/>
      <c r="I328" s="473"/>
      <c r="J328" s="473"/>
      <c r="K328" s="471"/>
      <c r="L328" s="44">
        <f t="shared" ref="L328" si="482">ROUNDUP(L327/60,2)</f>
        <v>0</v>
      </c>
      <c r="M328" s="44"/>
      <c r="N328" s="476"/>
      <c r="O328" s="46"/>
      <c r="P328" s="46"/>
      <c r="Q328" s="47"/>
      <c r="R328" s="47"/>
      <c r="S328" s="47"/>
      <c r="T328" s="48"/>
      <c r="U328" s="462"/>
      <c r="V328" s="462"/>
      <c r="W328" s="36"/>
      <c r="X328" s="49"/>
      <c r="Y328" s="50"/>
      <c r="Z328" s="50"/>
      <c r="AA328" s="50"/>
      <c r="AB328" s="51"/>
      <c r="AC328" s="52"/>
      <c r="AD328" s="465"/>
      <c r="AE328" s="53"/>
      <c r="AF328" s="54"/>
      <c r="AG328" s="55"/>
      <c r="AH328" s="468"/>
      <c r="AI328" s="468"/>
      <c r="AJ328" s="55"/>
      <c r="AK328" s="1"/>
      <c r="AL328" s="438"/>
      <c r="AM328" s="438"/>
      <c r="AN328" s="438"/>
      <c r="AO328" s="438"/>
      <c r="AP328" s="438"/>
      <c r="AQ328" s="438"/>
      <c r="AR328" s="438"/>
      <c r="AS328" s="438"/>
      <c r="AT328" s="29"/>
      <c r="AU328" s="30"/>
      <c r="AV328" s="30"/>
      <c r="AW328" s="30"/>
      <c r="AX328" s="30"/>
    </row>
    <row r="329" spans="1:50" ht="11.25" customHeight="1">
      <c r="A329" s="1"/>
      <c r="B329" s="442"/>
      <c r="C329" s="445"/>
      <c r="D329" s="448"/>
      <c r="E329" s="451"/>
      <c r="F329" s="454"/>
      <c r="G329" s="454"/>
      <c r="H329" s="471"/>
      <c r="I329" s="473"/>
      <c r="J329" s="473"/>
      <c r="K329" s="471"/>
      <c r="L329" s="44">
        <f t="shared" ref="L329" si="483">IF(L328&gt;0,L328-HOUR(H325)-MINUTE(H325)/60,0)</f>
        <v>0</v>
      </c>
      <c r="M329" s="56">
        <f t="shared" ref="M329" si="484">TIME(L329-MOD(L329,1),MOD(L329,1)*60,0)</f>
        <v>0</v>
      </c>
      <c r="N329" s="476"/>
      <c r="O329" s="45">
        <f t="shared" ref="O329" si="485">M331</f>
        <v>0</v>
      </c>
      <c r="P329" s="45">
        <f t="shared" ref="P329" si="486">SUMIF(AB325:AB334,"1.25",AC325:AC334)+SUMIF(AB325:AB334,"他時間外",AC325:AC334)+SUMIF(AB325:AB334,"1.35",AC325:AC334)</f>
        <v>0</v>
      </c>
      <c r="Q329" s="47"/>
      <c r="R329" s="47"/>
      <c r="S329" s="47"/>
      <c r="T329" s="48"/>
      <c r="U329" s="462"/>
      <c r="V329" s="462"/>
      <c r="W329" s="36"/>
      <c r="X329" s="49"/>
      <c r="Y329" s="50"/>
      <c r="Z329" s="50"/>
      <c r="AA329" s="50"/>
      <c r="AB329" s="51"/>
      <c r="AC329" s="52"/>
      <c r="AD329" s="465"/>
      <c r="AE329" s="53"/>
      <c r="AF329" s="54"/>
      <c r="AG329" s="55"/>
      <c r="AH329" s="468"/>
      <c r="AI329" s="468"/>
      <c r="AJ329" s="55"/>
      <c r="AK329" s="1"/>
      <c r="AL329" s="438"/>
      <c r="AM329" s="438"/>
      <c r="AN329" s="438"/>
      <c r="AO329" s="438"/>
      <c r="AP329" s="438"/>
      <c r="AQ329" s="438"/>
      <c r="AR329" s="438"/>
      <c r="AS329" s="438"/>
      <c r="AT329" s="29"/>
      <c r="AU329" s="30"/>
      <c r="AV329" s="30"/>
      <c r="AW329" s="30"/>
      <c r="AX329" s="30"/>
    </row>
    <row r="330" spans="1:50" ht="11.25" customHeight="1">
      <c r="A330" s="1"/>
      <c r="B330" s="442"/>
      <c r="C330" s="445"/>
      <c r="D330" s="448"/>
      <c r="E330" s="451"/>
      <c r="F330" s="454"/>
      <c r="G330" s="454"/>
      <c r="H330" s="471"/>
      <c r="I330" s="473"/>
      <c r="J330" s="473"/>
      <c r="K330" s="471"/>
      <c r="L330" s="44">
        <f t="shared" ref="L330" si="487">L329-$L$12</f>
        <v>-7.75</v>
      </c>
      <c r="M330" s="44"/>
      <c r="N330" s="476"/>
      <c r="O330" s="46"/>
      <c r="P330" s="46"/>
      <c r="Q330" s="47"/>
      <c r="R330" s="47"/>
      <c r="S330" s="47"/>
      <c r="T330" s="48"/>
      <c r="U330" s="462"/>
      <c r="V330" s="462"/>
      <c r="W330" s="36"/>
      <c r="X330" s="49"/>
      <c r="Y330" s="50"/>
      <c r="Z330" s="50"/>
      <c r="AA330" s="50"/>
      <c r="AB330" s="51"/>
      <c r="AC330" s="52"/>
      <c r="AD330" s="465"/>
      <c r="AE330" s="53"/>
      <c r="AF330" s="54"/>
      <c r="AG330" s="55"/>
      <c r="AH330" s="468"/>
      <c r="AI330" s="468"/>
      <c r="AJ330" s="55"/>
      <c r="AK330" s="1"/>
      <c r="AL330" s="438"/>
      <c r="AM330" s="438"/>
      <c r="AN330" s="438"/>
      <c r="AO330" s="438"/>
      <c r="AP330" s="438"/>
      <c r="AQ330" s="438"/>
      <c r="AR330" s="438"/>
      <c r="AS330" s="438"/>
      <c r="AT330" s="29"/>
      <c r="AU330" s="30"/>
      <c r="AV330" s="30"/>
      <c r="AW330" s="30"/>
      <c r="AX330" s="30"/>
    </row>
    <row r="331" spans="1:50" ht="11.25" customHeight="1">
      <c r="A331" s="1"/>
      <c r="B331" s="442"/>
      <c r="C331" s="445"/>
      <c r="D331" s="448"/>
      <c r="E331" s="451"/>
      <c r="F331" s="454"/>
      <c r="G331" s="454"/>
      <c r="H331" s="471"/>
      <c r="I331" s="473"/>
      <c r="J331" s="473"/>
      <c r="K331" s="471"/>
      <c r="L331" s="44">
        <f t="shared" ref="L331" si="488">IF($I$3= "協力会社",0,IF(L330&gt;0,L330,0))</f>
        <v>0</v>
      </c>
      <c r="M331" s="56">
        <f t="shared" ref="M331" si="489">TIME(L331-MOD(L331,1),MOD(L331,1)*60,0)</f>
        <v>0</v>
      </c>
      <c r="N331" s="476"/>
      <c r="O331" s="46"/>
      <c r="P331" s="45">
        <f t="shared" ref="P331" si="490">SUMIF(AB325:AB334,"0.25深夜",AC325:AC334)</f>
        <v>0</v>
      </c>
      <c r="Q331" s="47"/>
      <c r="R331" s="47"/>
      <c r="S331" s="47"/>
      <c r="T331" s="48"/>
      <c r="U331" s="462"/>
      <c r="V331" s="462"/>
      <c r="W331" s="36"/>
      <c r="X331" s="49"/>
      <c r="Y331" s="50"/>
      <c r="Z331" s="50"/>
      <c r="AA331" s="50"/>
      <c r="AB331" s="51"/>
      <c r="AC331" s="52"/>
      <c r="AD331" s="465"/>
      <c r="AE331" s="53"/>
      <c r="AF331" s="54"/>
      <c r="AG331" s="55"/>
      <c r="AH331" s="468"/>
      <c r="AI331" s="468"/>
      <c r="AJ331" s="55"/>
      <c r="AK331" s="1"/>
      <c r="AL331" s="438"/>
      <c r="AM331" s="438"/>
      <c r="AN331" s="438"/>
      <c r="AO331" s="438"/>
      <c r="AP331" s="438"/>
      <c r="AQ331" s="438"/>
      <c r="AR331" s="438"/>
      <c r="AS331" s="438"/>
      <c r="AT331" s="29"/>
      <c r="AU331" s="30"/>
      <c r="AV331" s="30"/>
      <c r="AW331" s="30"/>
      <c r="AX331" s="30"/>
    </row>
    <row r="332" spans="1:50" ht="11.25" customHeight="1">
      <c r="A332" s="1"/>
      <c r="B332" s="442"/>
      <c r="C332" s="445"/>
      <c r="D332" s="448"/>
      <c r="E332" s="451"/>
      <c r="F332" s="454"/>
      <c r="G332" s="454"/>
      <c r="H332" s="471"/>
      <c r="I332" s="473"/>
      <c r="J332" s="473"/>
      <c r="K332" s="471"/>
      <c r="L332" s="44"/>
      <c r="M332" s="44"/>
      <c r="N332" s="476"/>
      <c r="O332" s="46"/>
      <c r="P332" s="46"/>
      <c r="Q332" s="47"/>
      <c r="R332" s="47"/>
      <c r="S332" s="47"/>
      <c r="T332" s="48"/>
      <c r="U332" s="462"/>
      <c r="V332" s="462"/>
      <c r="W332" s="36"/>
      <c r="X332" s="49"/>
      <c r="Y332" s="50"/>
      <c r="Z332" s="50"/>
      <c r="AA332" s="50"/>
      <c r="AB332" s="51"/>
      <c r="AC332" s="52"/>
      <c r="AD332" s="465"/>
      <c r="AE332" s="53"/>
      <c r="AF332" s="54"/>
      <c r="AG332" s="55"/>
      <c r="AH332" s="468"/>
      <c r="AI332" s="468"/>
      <c r="AJ332" s="55"/>
      <c r="AK332" s="1"/>
      <c r="AL332" s="438"/>
      <c r="AM332" s="438"/>
      <c r="AN332" s="438"/>
      <c r="AO332" s="438"/>
      <c r="AP332" s="438"/>
      <c r="AQ332" s="438"/>
      <c r="AR332" s="438"/>
      <c r="AS332" s="438"/>
      <c r="AT332" s="29"/>
      <c r="AU332" s="30"/>
      <c r="AV332" s="30"/>
      <c r="AW332" s="30"/>
      <c r="AX332" s="30"/>
    </row>
    <row r="333" spans="1:50" ht="11.25" customHeight="1">
      <c r="A333" s="1"/>
      <c r="B333" s="442"/>
      <c r="C333" s="445"/>
      <c r="D333" s="448"/>
      <c r="E333" s="451"/>
      <c r="F333" s="454"/>
      <c r="G333" s="454"/>
      <c r="H333" s="471"/>
      <c r="I333" s="473"/>
      <c r="J333" s="473"/>
      <c r="K333" s="471"/>
      <c r="L333" s="44"/>
      <c r="M333" s="44"/>
      <c r="N333" s="478"/>
      <c r="O333" s="57">
        <f t="shared" ref="O333" si="491">O325+O329</f>
        <v>0</v>
      </c>
      <c r="P333" s="57">
        <f t="shared" ref="P333" si="492">SUM(P325:P329)</f>
        <v>0</v>
      </c>
      <c r="Q333" s="47"/>
      <c r="R333" s="47"/>
      <c r="S333" s="47"/>
      <c r="T333" s="48"/>
      <c r="U333" s="462"/>
      <c r="V333" s="462"/>
      <c r="W333" s="36"/>
      <c r="X333" s="49"/>
      <c r="Y333" s="49"/>
      <c r="Z333" s="49"/>
      <c r="AA333" s="49"/>
      <c r="AB333" s="51"/>
      <c r="AC333" s="52"/>
      <c r="AD333" s="465"/>
      <c r="AE333" s="53"/>
      <c r="AF333" s="59"/>
      <c r="AG333" s="60"/>
      <c r="AH333" s="468"/>
      <c r="AI333" s="468"/>
      <c r="AJ333" s="55"/>
      <c r="AK333" s="1"/>
      <c r="AL333" s="438"/>
      <c r="AM333" s="438"/>
      <c r="AN333" s="438"/>
      <c r="AO333" s="438"/>
      <c r="AP333" s="438"/>
      <c r="AQ333" s="438"/>
      <c r="AR333" s="438"/>
      <c r="AS333" s="438"/>
      <c r="AT333" s="29"/>
      <c r="AU333" s="30"/>
      <c r="AV333" s="30"/>
      <c r="AW333" s="30"/>
      <c r="AX333" s="30"/>
    </row>
    <row r="334" spans="1:50" ht="11.25" customHeight="1">
      <c r="A334" s="1"/>
      <c r="B334" s="443"/>
      <c r="C334" s="446"/>
      <c r="D334" s="449"/>
      <c r="E334" s="452"/>
      <c r="F334" s="455"/>
      <c r="G334" s="455"/>
      <c r="H334" s="472"/>
      <c r="I334" s="474"/>
      <c r="J334" s="474"/>
      <c r="K334" s="472"/>
      <c r="L334" s="61"/>
      <c r="M334" s="61"/>
      <c r="N334" s="477"/>
      <c r="O334" s="62"/>
      <c r="P334" s="62"/>
      <c r="Q334" s="63"/>
      <c r="R334" s="63"/>
      <c r="S334" s="63"/>
      <c r="T334" s="64"/>
      <c r="U334" s="463"/>
      <c r="V334" s="463"/>
      <c r="W334" s="65"/>
      <c r="X334" s="66"/>
      <c r="Y334" s="67"/>
      <c r="Z334" s="67"/>
      <c r="AA334" s="67"/>
      <c r="AB334" s="68"/>
      <c r="AC334" s="69"/>
      <c r="AD334" s="466"/>
      <c r="AE334" s="70"/>
      <c r="AF334" s="71"/>
      <c r="AG334" s="72"/>
      <c r="AH334" s="469"/>
      <c r="AI334" s="469"/>
      <c r="AJ334" s="72"/>
      <c r="AK334" s="1"/>
      <c r="AL334" s="439"/>
      <c r="AM334" s="439"/>
      <c r="AN334" s="439"/>
      <c r="AO334" s="439"/>
      <c r="AP334" s="439"/>
      <c r="AQ334" s="439"/>
      <c r="AR334" s="439"/>
      <c r="AS334" s="439"/>
      <c r="AT334" s="29"/>
      <c r="AU334" s="30"/>
      <c r="AV334" s="30"/>
      <c r="AW334" s="30"/>
      <c r="AX334" s="30"/>
    </row>
    <row r="335" spans="1:50">
      <c r="A335" s="1"/>
      <c r="B335" s="441" t="str">
        <f>IF(B325="","",IF(B325+1&gt;$AB$3,"",B325+1))</f>
        <v/>
      </c>
      <c r="C335" s="444" t="str">
        <f>IF(C325="","",IF(C325+1&gt;$AB$3,"",C325+1))</f>
        <v/>
      </c>
      <c r="D335" s="447" t="str">
        <f>IF(C335="","",WEEKDAY(C335,1))</f>
        <v/>
      </c>
      <c r="E335" s="450" t="str">
        <f>IF($D335="","",IF(NOT(ISERROR(MATCH($C335,祝日テーブル,0)=TRUE)),IF($D335=1,"法定","法定外"),IF($D335=1,"法定",IF($D335=7,"法定外",""))))</f>
        <v/>
      </c>
      <c r="F335" s="453"/>
      <c r="G335" s="453"/>
      <c r="H335" s="470">
        <v>4.1666666666666664E-2</v>
      </c>
      <c r="I335" s="473"/>
      <c r="J335" s="473"/>
      <c r="K335" s="471"/>
      <c r="L335" s="32">
        <f t="shared" ref="L335" si="493">MOD(F335,100)+FLOOR(F335/100,1)*60</f>
        <v>0</v>
      </c>
      <c r="M335" s="32"/>
      <c r="N335" s="475"/>
      <c r="O335" s="33">
        <f t="shared" ref="O335" si="494">IF($I$3= "協力会社",M339,IF(L339&gt;=$L$12,$M$12,IF(L339&gt;0,M339,0)))</f>
        <v>0</v>
      </c>
      <c r="P335" s="33">
        <f t="shared" ref="P335" si="495">SUMIF(AB335:AB344,"1.00",AC335:AC344)+SUMIF(AB335:AB344,"振休取得",AC335:AC344)</f>
        <v>0</v>
      </c>
      <c r="Q335" s="34"/>
      <c r="R335" s="34"/>
      <c r="S335" s="34"/>
      <c r="T335" s="35"/>
      <c r="U335" s="462"/>
      <c r="V335" s="462"/>
      <c r="W335" s="36"/>
      <c r="X335" s="37"/>
      <c r="Y335" s="37"/>
      <c r="Z335" s="37"/>
      <c r="AA335" s="37"/>
      <c r="AB335" s="38"/>
      <c r="AC335" s="39"/>
      <c r="AD335" s="464"/>
      <c r="AE335" s="40"/>
      <c r="AF335" s="41"/>
      <c r="AG335" s="42"/>
      <c r="AH335" s="467"/>
      <c r="AI335" s="467"/>
      <c r="AJ335" s="73"/>
      <c r="AK335" s="1"/>
      <c r="AL335" s="437"/>
      <c r="AM335" s="437"/>
      <c r="AN335" s="437"/>
      <c r="AO335" s="437"/>
      <c r="AP335" s="437"/>
      <c r="AQ335" s="437"/>
      <c r="AR335" s="437"/>
      <c r="AS335" s="437"/>
      <c r="AT335" s="29"/>
      <c r="AU335" s="30"/>
      <c r="AV335" s="30"/>
      <c r="AW335" s="30"/>
      <c r="AX335" s="30"/>
    </row>
    <row r="336" spans="1:50" ht="11.25" customHeight="1">
      <c r="A336" s="1"/>
      <c r="B336" s="442"/>
      <c r="C336" s="445"/>
      <c r="D336" s="448"/>
      <c r="E336" s="451"/>
      <c r="F336" s="454"/>
      <c r="G336" s="454"/>
      <c r="H336" s="471"/>
      <c r="I336" s="473"/>
      <c r="J336" s="473"/>
      <c r="K336" s="471"/>
      <c r="L336" s="44">
        <f t="shared" ref="L336" si="496">MOD(G335,100)+FLOOR(G335/100,1)*60</f>
        <v>0</v>
      </c>
      <c r="M336" s="44"/>
      <c r="N336" s="476"/>
      <c r="O336" s="45"/>
      <c r="P336" s="46"/>
      <c r="Q336" s="47"/>
      <c r="R336" s="47"/>
      <c r="S336" s="47"/>
      <c r="T336" s="48"/>
      <c r="U336" s="462"/>
      <c r="V336" s="462"/>
      <c r="W336" s="36"/>
      <c r="X336" s="49"/>
      <c r="Y336" s="50"/>
      <c r="Z336" s="50"/>
      <c r="AA336" s="50"/>
      <c r="AB336" s="51"/>
      <c r="AC336" s="52"/>
      <c r="AD336" s="465"/>
      <c r="AE336" s="53"/>
      <c r="AF336" s="54"/>
      <c r="AG336" s="55"/>
      <c r="AH336" s="468"/>
      <c r="AI336" s="468"/>
      <c r="AJ336" s="55"/>
      <c r="AK336" s="1"/>
      <c r="AL336" s="438"/>
      <c r="AM336" s="438"/>
      <c r="AN336" s="438"/>
      <c r="AO336" s="438"/>
      <c r="AP336" s="438"/>
      <c r="AQ336" s="438"/>
      <c r="AR336" s="438"/>
      <c r="AS336" s="438"/>
      <c r="AT336" s="29"/>
      <c r="AU336" s="30"/>
      <c r="AV336" s="30"/>
      <c r="AW336" s="30"/>
      <c r="AX336" s="30"/>
    </row>
    <row r="337" spans="1:50" ht="11.25" customHeight="1">
      <c r="A337" s="1"/>
      <c r="B337" s="442"/>
      <c r="C337" s="445"/>
      <c r="D337" s="448"/>
      <c r="E337" s="451"/>
      <c r="F337" s="454"/>
      <c r="G337" s="454"/>
      <c r="H337" s="471"/>
      <c r="I337" s="473"/>
      <c r="J337" s="473"/>
      <c r="K337" s="471"/>
      <c r="L337" s="44">
        <f t="shared" ref="L337" si="497">L336-L335</f>
        <v>0</v>
      </c>
      <c r="M337" s="44"/>
      <c r="N337" s="476"/>
      <c r="O337" s="46"/>
      <c r="P337" s="45">
        <f t="shared" ref="P337" si="498">SUMIF(AB335:AB344,"有休",AC335:AC344)+SUMIF(AB335:AB344,"無給休",AC335:AC344)+SUMIF(AB335:AB344,"振休",AC335:AC344)+SUMIF(AB335:AB344,"特休",AC335:AC344)</f>
        <v>0</v>
      </c>
      <c r="Q337" s="47"/>
      <c r="R337" s="47"/>
      <c r="S337" s="47"/>
      <c r="T337" s="48"/>
      <c r="U337" s="462"/>
      <c r="V337" s="462"/>
      <c r="W337" s="36"/>
      <c r="X337" s="49"/>
      <c r="Y337" s="50"/>
      <c r="Z337" s="50"/>
      <c r="AA337" s="50"/>
      <c r="AB337" s="51"/>
      <c r="AC337" s="52"/>
      <c r="AD337" s="465"/>
      <c r="AE337" s="53"/>
      <c r="AF337" s="54"/>
      <c r="AG337" s="55"/>
      <c r="AH337" s="468"/>
      <c r="AI337" s="468"/>
      <c r="AJ337" s="54"/>
      <c r="AK337" s="1"/>
      <c r="AL337" s="438"/>
      <c r="AM337" s="438"/>
      <c r="AN337" s="438"/>
      <c r="AO337" s="438"/>
      <c r="AP337" s="438"/>
      <c r="AQ337" s="438"/>
      <c r="AR337" s="438"/>
      <c r="AS337" s="438"/>
      <c r="AT337" s="29"/>
      <c r="AU337" s="30"/>
      <c r="AV337" s="30"/>
      <c r="AW337" s="30"/>
      <c r="AX337" s="30"/>
    </row>
    <row r="338" spans="1:50" ht="11.25" customHeight="1">
      <c r="A338" s="1"/>
      <c r="B338" s="442"/>
      <c r="C338" s="445"/>
      <c r="D338" s="448"/>
      <c r="E338" s="451"/>
      <c r="F338" s="454"/>
      <c r="G338" s="454"/>
      <c r="H338" s="471"/>
      <c r="I338" s="473"/>
      <c r="J338" s="473"/>
      <c r="K338" s="471"/>
      <c r="L338" s="44">
        <f t="shared" ref="L338" si="499">ROUNDUP(L337/60,2)</f>
        <v>0</v>
      </c>
      <c r="M338" s="44"/>
      <c r="N338" s="476"/>
      <c r="O338" s="46"/>
      <c r="P338" s="46"/>
      <c r="Q338" s="47"/>
      <c r="R338" s="47"/>
      <c r="S338" s="47"/>
      <c r="T338" s="48"/>
      <c r="U338" s="462"/>
      <c r="V338" s="462"/>
      <c r="W338" s="36"/>
      <c r="X338" s="49"/>
      <c r="Y338" s="50"/>
      <c r="Z338" s="50"/>
      <c r="AA338" s="50"/>
      <c r="AB338" s="51"/>
      <c r="AC338" s="52"/>
      <c r="AD338" s="465"/>
      <c r="AE338" s="53"/>
      <c r="AF338" s="54"/>
      <c r="AG338" s="55"/>
      <c r="AH338" s="468"/>
      <c r="AI338" s="468"/>
      <c r="AJ338" s="55"/>
      <c r="AK338" s="1"/>
      <c r="AL338" s="438"/>
      <c r="AM338" s="438"/>
      <c r="AN338" s="438"/>
      <c r="AO338" s="438"/>
      <c r="AP338" s="438"/>
      <c r="AQ338" s="438"/>
      <c r="AR338" s="438"/>
      <c r="AS338" s="438"/>
      <c r="AT338" s="29"/>
      <c r="AU338" s="30"/>
      <c r="AV338" s="30"/>
      <c r="AW338" s="30"/>
      <c r="AX338" s="30"/>
    </row>
    <row r="339" spans="1:50" ht="11.25" customHeight="1">
      <c r="A339" s="1"/>
      <c r="B339" s="442"/>
      <c r="C339" s="445"/>
      <c r="D339" s="448"/>
      <c r="E339" s="451"/>
      <c r="F339" s="454"/>
      <c r="G339" s="454"/>
      <c r="H339" s="471"/>
      <c r="I339" s="473"/>
      <c r="J339" s="473"/>
      <c r="K339" s="471"/>
      <c r="L339" s="44">
        <f t="shared" ref="L339" si="500">IF(L338&gt;0,L338-HOUR(H335)-MINUTE(H335)/60,0)</f>
        <v>0</v>
      </c>
      <c r="M339" s="56">
        <f t="shared" ref="M339" si="501">TIME(L339-MOD(L339,1),MOD(L339,1)*60,0)</f>
        <v>0</v>
      </c>
      <c r="N339" s="476"/>
      <c r="O339" s="45">
        <f t="shared" ref="O339" si="502">M341</f>
        <v>0</v>
      </c>
      <c r="P339" s="45">
        <f t="shared" ref="P339" si="503">SUMIF(AB335:AB344,"1.25",AC335:AC344)+SUMIF(AB335:AB344,"他時間外",AC335:AC344)+SUMIF(AB335:AB344,"1.35",AC335:AC344)</f>
        <v>0</v>
      </c>
      <c r="Q339" s="47"/>
      <c r="R339" s="47"/>
      <c r="S339" s="47"/>
      <c r="T339" s="48"/>
      <c r="U339" s="462"/>
      <c r="V339" s="462"/>
      <c r="W339" s="36"/>
      <c r="X339" s="49"/>
      <c r="Y339" s="50"/>
      <c r="Z339" s="50"/>
      <c r="AA339" s="50"/>
      <c r="AB339" s="51"/>
      <c r="AC339" s="52"/>
      <c r="AD339" s="465"/>
      <c r="AE339" s="53"/>
      <c r="AF339" s="54"/>
      <c r="AG339" s="55"/>
      <c r="AH339" s="468"/>
      <c r="AI339" s="468"/>
      <c r="AJ339" s="55"/>
      <c r="AK339" s="1"/>
      <c r="AL339" s="438"/>
      <c r="AM339" s="438"/>
      <c r="AN339" s="438"/>
      <c r="AO339" s="438"/>
      <c r="AP339" s="438"/>
      <c r="AQ339" s="438"/>
      <c r="AR339" s="438"/>
      <c r="AS339" s="438"/>
      <c r="AT339" s="29"/>
      <c r="AU339" s="30"/>
      <c r="AV339" s="30"/>
      <c r="AW339" s="30"/>
      <c r="AX339" s="30"/>
    </row>
    <row r="340" spans="1:50" ht="11.25" customHeight="1">
      <c r="A340" s="1"/>
      <c r="B340" s="442"/>
      <c r="C340" s="445"/>
      <c r="D340" s="448"/>
      <c r="E340" s="451"/>
      <c r="F340" s="454"/>
      <c r="G340" s="454"/>
      <c r="H340" s="471"/>
      <c r="I340" s="473"/>
      <c r="J340" s="473"/>
      <c r="K340" s="471"/>
      <c r="L340" s="44">
        <f t="shared" ref="L340" si="504">L339-$L$12</f>
        <v>-7.75</v>
      </c>
      <c r="M340" s="44"/>
      <c r="N340" s="476"/>
      <c r="O340" s="46"/>
      <c r="P340" s="46"/>
      <c r="Q340" s="47"/>
      <c r="R340" s="47"/>
      <c r="S340" s="47"/>
      <c r="T340" s="48"/>
      <c r="U340" s="462"/>
      <c r="V340" s="462"/>
      <c r="W340" s="36"/>
      <c r="X340" s="49"/>
      <c r="Y340" s="50"/>
      <c r="Z340" s="50"/>
      <c r="AA340" s="50"/>
      <c r="AB340" s="51"/>
      <c r="AC340" s="52"/>
      <c r="AD340" s="465"/>
      <c r="AE340" s="53"/>
      <c r="AF340" s="54"/>
      <c r="AG340" s="55"/>
      <c r="AH340" s="468"/>
      <c r="AI340" s="468"/>
      <c r="AJ340" s="55"/>
      <c r="AK340" s="1"/>
      <c r="AL340" s="438"/>
      <c r="AM340" s="438"/>
      <c r="AN340" s="438"/>
      <c r="AO340" s="438"/>
      <c r="AP340" s="438"/>
      <c r="AQ340" s="438"/>
      <c r="AR340" s="438"/>
      <c r="AS340" s="438"/>
      <c r="AT340" s="29"/>
      <c r="AU340" s="30"/>
      <c r="AV340" s="30"/>
      <c r="AW340" s="30"/>
      <c r="AX340" s="30"/>
    </row>
    <row r="341" spans="1:50" ht="11.25" customHeight="1">
      <c r="A341" s="1"/>
      <c r="B341" s="442"/>
      <c r="C341" s="445"/>
      <c r="D341" s="448"/>
      <c r="E341" s="451"/>
      <c r="F341" s="454"/>
      <c r="G341" s="454"/>
      <c r="H341" s="471"/>
      <c r="I341" s="473"/>
      <c r="J341" s="473"/>
      <c r="K341" s="471"/>
      <c r="L341" s="44">
        <f t="shared" ref="L341" si="505">IF($I$3= "協力会社",0,IF(L340&gt;0,L340,0))</f>
        <v>0</v>
      </c>
      <c r="M341" s="56">
        <f t="shared" ref="M341" si="506">TIME(L341-MOD(L341,1),MOD(L341,1)*60,0)</f>
        <v>0</v>
      </c>
      <c r="N341" s="476"/>
      <c r="O341" s="46"/>
      <c r="P341" s="45">
        <f t="shared" ref="P341" si="507">SUMIF(AB335:AB344,"0.25深夜",AC335:AC344)</f>
        <v>0</v>
      </c>
      <c r="Q341" s="47"/>
      <c r="R341" s="47"/>
      <c r="S341" s="47"/>
      <c r="T341" s="48"/>
      <c r="U341" s="462"/>
      <c r="V341" s="462"/>
      <c r="W341" s="36"/>
      <c r="X341" s="49"/>
      <c r="Y341" s="50"/>
      <c r="Z341" s="50"/>
      <c r="AA341" s="50"/>
      <c r="AB341" s="51"/>
      <c r="AC341" s="52"/>
      <c r="AD341" s="465"/>
      <c r="AE341" s="53"/>
      <c r="AF341" s="54"/>
      <c r="AG341" s="55"/>
      <c r="AH341" s="468"/>
      <c r="AI341" s="468"/>
      <c r="AJ341" s="55"/>
      <c r="AK341" s="1"/>
      <c r="AL341" s="438"/>
      <c r="AM341" s="438"/>
      <c r="AN341" s="438"/>
      <c r="AO341" s="438"/>
      <c r="AP341" s="438"/>
      <c r="AQ341" s="438"/>
      <c r="AR341" s="438"/>
      <c r="AS341" s="438"/>
      <c r="AT341" s="29"/>
      <c r="AU341" s="30"/>
      <c r="AV341" s="30"/>
      <c r="AW341" s="30"/>
      <c r="AX341" s="30"/>
    </row>
    <row r="342" spans="1:50" ht="11.25" customHeight="1">
      <c r="A342" s="1"/>
      <c r="B342" s="442"/>
      <c r="C342" s="445"/>
      <c r="D342" s="448"/>
      <c r="E342" s="451"/>
      <c r="F342" s="454"/>
      <c r="G342" s="454"/>
      <c r="H342" s="471"/>
      <c r="I342" s="473"/>
      <c r="J342" s="473"/>
      <c r="K342" s="471"/>
      <c r="L342" s="44"/>
      <c r="M342" s="44"/>
      <c r="N342" s="476"/>
      <c r="O342" s="46"/>
      <c r="P342" s="46"/>
      <c r="Q342" s="47"/>
      <c r="R342" s="47"/>
      <c r="S342" s="47"/>
      <c r="T342" s="48"/>
      <c r="U342" s="462"/>
      <c r="V342" s="462"/>
      <c r="W342" s="36"/>
      <c r="X342" s="49"/>
      <c r="Y342" s="50"/>
      <c r="Z342" s="50"/>
      <c r="AA342" s="50"/>
      <c r="AB342" s="51"/>
      <c r="AC342" s="52"/>
      <c r="AD342" s="465"/>
      <c r="AE342" s="53"/>
      <c r="AF342" s="54"/>
      <c r="AG342" s="55"/>
      <c r="AH342" s="468"/>
      <c r="AI342" s="468"/>
      <c r="AJ342" s="55"/>
      <c r="AK342" s="1"/>
      <c r="AL342" s="438"/>
      <c r="AM342" s="438"/>
      <c r="AN342" s="438"/>
      <c r="AO342" s="438"/>
      <c r="AP342" s="438"/>
      <c r="AQ342" s="438"/>
      <c r="AR342" s="438"/>
      <c r="AS342" s="438"/>
      <c r="AT342" s="29"/>
      <c r="AU342" s="30"/>
      <c r="AV342" s="30"/>
      <c r="AW342" s="30"/>
      <c r="AX342" s="30"/>
    </row>
    <row r="343" spans="1:50" ht="11.25" customHeight="1">
      <c r="A343" s="1"/>
      <c r="B343" s="442"/>
      <c r="C343" s="445"/>
      <c r="D343" s="448"/>
      <c r="E343" s="451"/>
      <c r="F343" s="454"/>
      <c r="G343" s="454"/>
      <c r="H343" s="471"/>
      <c r="I343" s="473"/>
      <c r="J343" s="473"/>
      <c r="K343" s="471"/>
      <c r="L343" s="44"/>
      <c r="M343" s="44"/>
      <c r="N343" s="478"/>
      <c r="O343" s="57">
        <f t="shared" ref="O343" si="508">O335+O339</f>
        <v>0</v>
      </c>
      <c r="P343" s="57">
        <f t="shared" ref="P343" si="509">SUM(P335:P339)</f>
        <v>0</v>
      </c>
      <c r="Q343" s="47"/>
      <c r="R343" s="47"/>
      <c r="S343" s="47"/>
      <c r="T343" s="48"/>
      <c r="U343" s="462"/>
      <c r="V343" s="462"/>
      <c r="W343" s="36"/>
      <c r="X343" s="49"/>
      <c r="Y343" s="49"/>
      <c r="Z343" s="49"/>
      <c r="AA343" s="49"/>
      <c r="AB343" s="51"/>
      <c r="AC343" s="52"/>
      <c r="AD343" s="465"/>
      <c r="AE343" s="53"/>
      <c r="AF343" s="59"/>
      <c r="AG343" s="60"/>
      <c r="AH343" s="468"/>
      <c r="AI343" s="468"/>
      <c r="AJ343" s="55"/>
      <c r="AK343" s="1"/>
      <c r="AL343" s="438"/>
      <c r="AM343" s="438"/>
      <c r="AN343" s="438"/>
      <c r="AO343" s="438"/>
      <c r="AP343" s="438"/>
      <c r="AQ343" s="438"/>
      <c r="AR343" s="438"/>
      <c r="AS343" s="438"/>
      <c r="AT343" s="29"/>
      <c r="AU343" s="30"/>
      <c r="AV343" s="30"/>
      <c r="AW343" s="30"/>
      <c r="AX343" s="30"/>
    </row>
    <row r="344" spans="1:50" ht="11.25" customHeight="1">
      <c r="A344" s="1"/>
      <c r="B344" s="443"/>
      <c r="C344" s="446"/>
      <c r="D344" s="449"/>
      <c r="E344" s="452"/>
      <c r="F344" s="455"/>
      <c r="G344" s="455"/>
      <c r="H344" s="472"/>
      <c r="I344" s="474"/>
      <c r="J344" s="474"/>
      <c r="K344" s="472"/>
      <c r="L344" s="61"/>
      <c r="M344" s="61"/>
      <c r="N344" s="477"/>
      <c r="O344" s="62"/>
      <c r="P344" s="62"/>
      <c r="Q344" s="63"/>
      <c r="R344" s="63"/>
      <c r="S344" s="63"/>
      <c r="T344" s="64"/>
      <c r="U344" s="463"/>
      <c r="V344" s="463"/>
      <c r="W344" s="65"/>
      <c r="X344" s="66"/>
      <c r="Y344" s="67"/>
      <c r="Z344" s="67"/>
      <c r="AA344" s="67"/>
      <c r="AB344" s="68"/>
      <c r="AC344" s="69"/>
      <c r="AD344" s="466"/>
      <c r="AE344" s="70"/>
      <c r="AF344" s="71"/>
      <c r="AG344" s="72"/>
      <c r="AH344" s="469"/>
      <c r="AI344" s="469"/>
      <c r="AJ344" s="72"/>
      <c r="AK344" s="1"/>
      <c r="AL344" s="439"/>
      <c r="AM344" s="439"/>
      <c r="AN344" s="439"/>
      <c r="AO344" s="439"/>
      <c r="AP344" s="439"/>
      <c r="AQ344" s="439"/>
      <c r="AR344" s="439"/>
      <c r="AS344" s="439"/>
      <c r="AT344" s="29"/>
      <c r="AU344" s="30"/>
      <c r="AV344" s="30"/>
      <c r="AW344" s="30"/>
      <c r="AX344" s="30"/>
    </row>
    <row r="345" spans="1:50">
      <c r="A345" s="1"/>
      <c r="B345" s="441" t="str">
        <f>IF(B335="","",IF(B335+1&gt;$AB$3,"",B335+1))</f>
        <v/>
      </c>
      <c r="C345" s="444" t="str">
        <f>IF(C335="","",IF(C335+1&gt;$AB$3,"",C335+1))</f>
        <v/>
      </c>
      <c r="D345" s="447" t="str">
        <f>IF(C345="","",WEEKDAY(C345,1))</f>
        <v/>
      </c>
      <c r="E345" s="450" t="str">
        <f>IF($D345="","",IF(NOT(ISERROR(MATCH($C345,祝日テーブル,0)=TRUE)),IF($D345=1,"法定","法定外"),IF($D345=1,"法定",IF($D345=7,"法定外",""))))</f>
        <v/>
      </c>
      <c r="F345" s="453"/>
      <c r="G345" s="453"/>
      <c r="H345" s="470">
        <v>4.1666666666666664E-2</v>
      </c>
      <c r="I345" s="473"/>
      <c r="J345" s="473"/>
      <c r="K345" s="471"/>
      <c r="L345" s="32">
        <f t="shared" ref="L345" si="510">MOD(F345,100)+FLOOR(F345/100,1)*60</f>
        <v>0</v>
      </c>
      <c r="M345" s="32"/>
      <c r="N345" s="475"/>
      <c r="O345" s="33">
        <f t="shared" ref="O345" si="511">IF($I$3= "協力会社",M349,IF(L349&gt;=$L$12,$M$12,IF(L349&gt;0,M349,0)))</f>
        <v>0</v>
      </c>
      <c r="P345" s="33">
        <f t="shared" ref="P345" si="512">SUMIF(AB345:AB354,"1.00",AC345:AC354)+SUMIF(AB345:AB354,"振休取得",AC345:AC354)</f>
        <v>0</v>
      </c>
      <c r="Q345" s="34"/>
      <c r="R345" s="34"/>
      <c r="S345" s="34"/>
      <c r="T345" s="35"/>
      <c r="U345" s="462"/>
      <c r="V345" s="462"/>
      <c r="W345" s="36"/>
      <c r="X345" s="37"/>
      <c r="Y345" s="37"/>
      <c r="Z345" s="37"/>
      <c r="AA345" s="37"/>
      <c r="AB345" s="38"/>
      <c r="AC345" s="39"/>
      <c r="AD345" s="464"/>
      <c r="AE345" s="40"/>
      <c r="AF345" s="41"/>
      <c r="AG345" s="42"/>
      <c r="AH345" s="467"/>
      <c r="AI345" s="467"/>
      <c r="AJ345" s="73"/>
      <c r="AK345" s="1"/>
      <c r="AL345" s="437"/>
      <c r="AM345" s="437"/>
      <c r="AN345" s="437"/>
      <c r="AO345" s="437"/>
      <c r="AP345" s="437"/>
      <c r="AQ345" s="437"/>
      <c r="AR345" s="437"/>
      <c r="AS345" s="437"/>
      <c r="AT345" s="29"/>
      <c r="AU345" s="30"/>
      <c r="AV345" s="30"/>
      <c r="AW345" s="30"/>
      <c r="AX345" s="30"/>
    </row>
    <row r="346" spans="1:50" ht="11.25" customHeight="1">
      <c r="A346" s="1"/>
      <c r="B346" s="442"/>
      <c r="C346" s="445"/>
      <c r="D346" s="448"/>
      <c r="E346" s="451"/>
      <c r="F346" s="454"/>
      <c r="G346" s="454"/>
      <c r="H346" s="471"/>
      <c r="I346" s="473"/>
      <c r="J346" s="473"/>
      <c r="K346" s="471"/>
      <c r="L346" s="44">
        <f t="shared" ref="L346" si="513">MOD(G345,100)+FLOOR(G345/100,1)*60</f>
        <v>0</v>
      </c>
      <c r="M346" s="44"/>
      <c r="N346" s="476"/>
      <c r="O346" s="45"/>
      <c r="P346" s="46"/>
      <c r="Q346" s="47"/>
      <c r="R346" s="47"/>
      <c r="S346" s="47"/>
      <c r="T346" s="48"/>
      <c r="U346" s="462"/>
      <c r="V346" s="462"/>
      <c r="W346" s="36"/>
      <c r="X346" s="49"/>
      <c r="Y346" s="50"/>
      <c r="Z346" s="50"/>
      <c r="AA346" s="50"/>
      <c r="AB346" s="51"/>
      <c r="AC346" s="52"/>
      <c r="AD346" s="465"/>
      <c r="AE346" s="53"/>
      <c r="AF346" s="54"/>
      <c r="AG346" s="55"/>
      <c r="AH346" s="468"/>
      <c r="AI346" s="468"/>
      <c r="AJ346" s="55"/>
      <c r="AK346" s="1"/>
      <c r="AL346" s="438"/>
      <c r="AM346" s="438"/>
      <c r="AN346" s="438"/>
      <c r="AO346" s="438"/>
      <c r="AP346" s="438"/>
      <c r="AQ346" s="438"/>
      <c r="AR346" s="438"/>
      <c r="AS346" s="438"/>
      <c r="AT346" s="29"/>
      <c r="AU346" s="30"/>
      <c r="AV346" s="30"/>
      <c r="AW346" s="30"/>
      <c r="AX346" s="30"/>
    </row>
    <row r="347" spans="1:50" ht="11.25" customHeight="1">
      <c r="A347" s="1"/>
      <c r="B347" s="442"/>
      <c r="C347" s="445"/>
      <c r="D347" s="448"/>
      <c r="E347" s="451"/>
      <c r="F347" s="454"/>
      <c r="G347" s="454"/>
      <c r="H347" s="471"/>
      <c r="I347" s="473"/>
      <c r="J347" s="473"/>
      <c r="K347" s="471"/>
      <c r="L347" s="44">
        <f t="shared" ref="L347" si="514">L346-L345</f>
        <v>0</v>
      </c>
      <c r="M347" s="44"/>
      <c r="N347" s="476"/>
      <c r="O347" s="46"/>
      <c r="P347" s="45">
        <f t="shared" ref="P347" si="515">SUMIF(AB345:AB354,"有休",AC345:AC354)+SUMIF(AB345:AB354,"無給休",AC345:AC354)+SUMIF(AB345:AB354,"振休",AC345:AC354)+SUMIF(AB345:AB354,"特休",AC345:AC354)</f>
        <v>0</v>
      </c>
      <c r="Q347" s="47"/>
      <c r="R347" s="47"/>
      <c r="S347" s="47"/>
      <c r="T347" s="48"/>
      <c r="U347" s="462"/>
      <c r="V347" s="462"/>
      <c r="W347" s="36"/>
      <c r="X347" s="49"/>
      <c r="Y347" s="50"/>
      <c r="Z347" s="50"/>
      <c r="AA347" s="50"/>
      <c r="AB347" s="51"/>
      <c r="AC347" s="52"/>
      <c r="AD347" s="465"/>
      <c r="AE347" s="53"/>
      <c r="AF347" s="54"/>
      <c r="AG347" s="55"/>
      <c r="AH347" s="468"/>
      <c r="AI347" s="468"/>
      <c r="AJ347" s="54"/>
      <c r="AK347" s="1"/>
      <c r="AL347" s="438"/>
      <c r="AM347" s="438"/>
      <c r="AN347" s="438"/>
      <c r="AO347" s="438"/>
      <c r="AP347" s="438"/>
      <c r="AQ347" s="438"/>
      <c r="AR347" s="438"/>
      <c r="AS347" s="438"/>
      <c r="AT347" s="29"/>
      <c r="AU347" s="30"/>
      <c r="AV347" s="30"/>
      <c r="AW347" s="30"/>
      <c r="AX347" s="30"/>
    </row>
    <row r="348" spans="1:50" ht="11.25" customHeight="1">
      <c r="A348" s="1"/>
      <c r="B348" s="442"/>
      <c r="C348" s="445"/>
      <c r="D348" s="448"/>
      <c r="E348" s="451"/>
      <c r="F348" s="454"/>
      <c r="G348" s="454"/>
      <c r="H348" s="471"/>
      <c r="I348" s="473"/>
      <c r="J348" s="473"/>
      <c r="K348" s="471"/>
      <c r="L348" s="44">
        <f t="shared" ref="L348" si="516">ROUNDUP(L347/60,2)</f>
        <v>0</v>
      </c>
      <c r="M348" s="44"/>
      <c r="N348" s="476"/>
      <c r="O348" s="46"/>
      <c r="P348" s="46"/>
      <c r="Q348" s="47"/>
      <c r="R348" s="47"/>
      <c r="S348" s="47"/>
      <c r="T348" s="48"/>
      <c r="U348" s="462"/>
      <c r="V348" s="462"/>
      <c r="W348" s="36"/>
      <c r="X348" s="49"/>
      <c r="Y348" s="50"/>
      <c r="Z348" s="50"/>
      <c r="AA348" s="50"/>
      <c r="AB348" s="51"/>
      <c r="AC348" s="52"/>
      <c r="AD348" s="465"/>
      <c r="AE348" s="53"/>
      <c r="AF348" s="54"/>
      <c r="AG348" s="55"/>
      <c r="AH348" s="468"/>
      <c r="AI348" s="468"/>
      <c r="AJ348" s="55"/>
      <c r="AK348" s="1"/>
      <c r="AL348" s="438"/>
      <c r="AM348" s="438"/>
      <c r="AN348" s="438"/>
      <c r="AO348" s="438"/>
      <c r="AP348" s="438"/>
      <c r="AQ348" s="438"/>
      <c r="AR348" s="438"/>
      <c r="AS348" s="438"/>
      <c r="AT348" s="29"/>
      <c r="AU348" s="30"/>
      <c r="AV348" s="30"/>
      <c r="AW348" s="30"/>
      <c r="AX348" s="30"/>
    </row>
    <row r="349" spans="1:50" ht="11.25" customHeight="1">
      <c r="A349" s="1"/>
      <c r="B349" s="442"/>
      <c r="C349" s="445"/>
      <c r="D349" s="448"/>
      <c r="E349" s="451"/>
      <c r="F349" s="454"/>
      <c r="G349" s="454"/>
      <c r="H349" s="471"/>
      <c r="I349" s="473"/>
      <c r="J349" s="473"/>
      <c r="K349" s="471"/>
      <c r="L349" s="44">
        <f t="shared" ref="L349" si="517">IF(L348&gt;0,L348-HOUR(H345)-MINUTE(H345)/60,0)</f>
        <v>0</v>
      </c>
      <c r="M349" s="56">
        <f t="shared" ref="M349" si="518">TIME(L349-MOD(L349,1),MOD(L349,1)*60,0)</f>
        <v>0</v>
      </c>
      <c r="N349" s="476"/>
      <c r="O349" s="45">
        <f t="shared" ref="O349" si="519">M351</f>
        <v>0</v>
      </c>
      <c r="P349" s="45">
        <f t="shared" ref="P349" si="520">SUMIF(AB345:AB354,"1.25",AC345:AC354)+SUMIF(AB345:AB354,"他時間外",AC345:AC354)+SUMIF(AB345:AB354,"1.35",AC345:AC354)</f>
        <v>0</v>
      </c>
      <c r="Q349" s="47"/>
      <c r="R349" s="47"/>
      <c r="S349" s="47"/>
      <c r="T349" s="48"/>
      <c r="U349" s="462"/>
      <c r="V349" s="462"/>
      <c r="W349" s="36"/>
      <c r="X349" s="49"/>
      <c r="Y349" s="50"/>
      <c r="Z349" s="50"/>
      <c r="AA349" s="50"/>
      <c r="AB349" s="51"/>
      <c r="AC349" s="52"/>
      <c r="AD349" s="465"/>
      <c r="AE349" s="53"/>
      <c r="AF349" s="54"/>
      <c r="AG349" s="55"/>
      <c r="AH349" s="468"/>
      <c r="AI349" s="468"/>
      <c r="AJ349" s="55"/>
      <c r="AK349" s="1"/>
      <c r="AL349" s="438"/>
      <c r="AM349" s="438"/>
      <c r="AN349" s="438"/>
      <c r="AO349" s="438"/>
      <c r="AP349" s="438"/>
      <c r="AQ349" s="438"/>
      <c r="AR349" s="438"/>
      <c r="AS349" s="438"/>
      <c r="AT349" s="29"/>
      <c r="AU349" s="30"/>
      <c r="AV349" s="30"/>
      <c r="AW349" s="30"/>
      <c r="AX349" s="30"/>
    </row>
    <row r="350" spans="1:50" ht="11.25" customHeight="1">
      <c r="A350" s="1"/>
      <c r="B350" s="442"/>
      <c r="C350" s="445"/>
      <c r="D350" s="448"/>
      <c r="E350" s="451"/>
      <c r="F350" s="454"/>
      <c r="G350" s="454"/>
      <c r="H350" s="471"/>
      <c r="I350" s="473"/>
      <c r="J350" s="473"/>
      <c r="K350" s="471"/>
      <c r="L350" s="44">
        <f t="shared" ref="L350" si="521">L349-$L$12</f>
        <v>-7.75</v>
      </c>
      <c r="M350" s="44"/>
      <c r="N350" s="476"/>
      <c r="O350" s="46"/>
      <c r="P350" s="46"/>
      <c r="Q350" s="47"/>
      <c r="R350" s="47"/>
      <c r="S350" s="47"/>
      <c r="T350" s="48"/>
      <c r="U350" s="462"/>
      <c r="V350" s="462"/>
      <c r="W350" s="36"/>
      <c r="X350" s="49"/>
      <c r="Y350" s="50"/>
      <c r="Z350" s="50"/>
      <c r="AA350" s="50"/>
      <c r="AB350" s="51"/>
      <c r="AC350" s="52"/>
      <c r="AD350" s="465"/>
      <c r="AE350" s="53"/>
      <c r="AF350" s="54"/>
      <c r="AG350" s="55"/>
      <c r="AH350" s="468"/>
      <c r="AI350" s="468"/>
      <c r="AJ350" s="55"/>
      <c r="AK350" s="1"/>
      <c r="AL350" s="438"/>
      <c r="AM350" s="438"/>
      <c r="AN350" s="438"/>
      <c r="AO350" s="438"/>
      <c r="AP350" s="438"/>
      <c r="AQ350" s="438"/>
      <c r="AR350" s="438"/>
      <c r="AS350" s="438"/>
      <c r="AT350" s="29"/>
      <c r="AU350" s="30"/>
      <c r="AV350" s="30"/>
      <c r="AW350" s="30"/>
      <c r="AX350" s="30"/>
    </row>
    <row r="351" spans="1:50" ht="11.25" customHeight="1">
      <c r="A351" s="1"/>
      <c r="B351" s="442"/>
      <c r="C351" s="445"/>
      <c r="D351" s="448"/>
      <c r="E351" s="451"/>
      <c r="F351" s="454"/>
      <c r="G351" s="454"/>
      <c r="H351" s="471"/>
      <c r="I351" s="473"/>
      <c r="J351" s="473"/>
      <c r="K351" s="471"/>
      <c r="L351" s="44">
        <f t="shared" ref="L351" si="522">IF($I$3= "協力会社",0,IF(L350&gt;0,L350,0))</f>
        <v>0</v>
      </c>
      <c r="M351" s="56">
        <f t="shared" ref="M351" si="523">TIME(L351-MOD(L351,1),MOD(L351,1)*60,0)</f>
        <v>0</v>
      </c>
      <c r="N351" s="476"/>
      <c r="O351" s="46"/>
      <c r="P351" s="45">
        <f t="shared" ref="P351" si="524">SUMIF(AB345:AB354,"0.25深夜",AC345:AC354)</f>
        <v>0</v>
      </c>
      <c r="Q351" s="47"/>
      <c r="R351" s="47"/>
      <c r="S351" s="47"/>
      <c r="T351" s="48"/>
      <c r="U351" s="462"/>
      <c r="V351" s="462"/>
      <c r="W351" s="36"/>
      <c r="X351" s="49"/>
      <c r="Y351" s="50"/>
      <c r="Z351" s="50"/>
      <c r="AA351" s="50"/>
      <c r="AB351" s="51"/>
      <c r="AC351" s="52"/>
      <c r="AD351" s="465"/>
      <c r="AE351" s="53"/>
      <c r="AF351" s="54"/>
      <c r="AG351" s="55"/>
      <c r="AH351" s="468"/>
      <c r="AI351" s="468"/>
      <c r="AJ351" s="55"/>
      <c r="AK351" s="1"/>
      <c r="AL351" s="438"/>
      <c r="AM351" s="438"/>
      <c r="AN351" s="438"/>
      <c r="AO351" s="438"/>
      <c r="AP351" s="438"/>
      <c r="AQ351" s="438"/>
      <c r="AR351" s="438"/>
      <c r="AS351" s="438"/>
      <c r="AT351" s="29"/>
      <c r="AU351" s="30"/>
      <c r="AV351" s="30"/>
      <c r="AW351" s="30"/>
      <c r="AX351" s="30"/>
    </row>
    <row r="352" spans="1:50" ht="11.25" customHeight="1">
      <c r="A352" s="1"/>
      <c r="B352" s="442"/>
      <c r="C352" s="445"/>
      <c r="D352" s="448"/>
      <c r="E352" s="451"/>
      <c r="F352" s="454"/>
      <c r="G352" s="454"/>
      <c r="H352" s="471"/>
      <c r="I352" s="473"/>
      <c r="J352" s="473"/>
      <c r="K352" s="471"/>
      <c r="L352" s="44"/>
      <c r="M352" s="44"/>
      <c r="N352" s="476"/>
      <c r="O352" s="46"/>
      <c r="P352" s="46"/>
      <c r="Q352" s="47"/>
      <c r="R352" s="47"/>
      <c r="S352" s="47"/>
      <c r="T352" s="48"/>
      <c r="U352" s="462"/>
      <c r="V352" s="462"/>
      <c r="W352" s="36"/>
      <c r="X352" s="49"/>
      <c r="Y352" s="50"/>
      <c r="Z352" s="50"/>
      <c r="AA352" s="50"/>
      <c r="AB352" s="51"/>
      <c r="AC352" s="52"/>
      <c r="AD352" s="465"/>
      <c r="AE352" s="53"/>
      <c r="AF352" s="54"/>
      <c r="AG352" s="55"/>
      <c r="AH352" s="468"/>
      <c r="AI352" s="468"/>
      <c r="AJ352" s="55"/>
      <c r="AK352" s="1"/>
      <c r="AL352" s="438"/>
      <c r="AM352" s="438"/>
      <c r="AN352" s="438"/>
      <c r="AO352" s="438"/>
      <c r="AP352" s="438"/>
      <c r="AQ352" s="438"/>
      <c r="AR352" s="438"/>
      <c r="AS352" s="438"/>
      <c r="AT352" s="29"/>
      <c r="AU352" s="30"/>
      <c r="AV352" s="30"/>
      <c r="AW352" s="30"/>
      <c r="AX352" s="30"/>
    </row>
    <row r="353" spans="1:50" ht="11.25" customHeight="1">
      <c r="A353" s="1"/>
      <c r="B353" s="442"/>
      <c r="C353" s="445"/>
      <c r="D353" s="448"/>
      <c r="E353" s="451"/>
      <c r="F353" s="454"/>
      <c r="G353" s="454"/>
      <c r="H353" s="471"/>
      <c r="I353" s="473"/>
      <c r="J353" s="473"/>
      <c r="K353" s="471"/>
      <c r="L353" s="44"/>
      <c r="M353" s="44"/>
      <c r="N353" s="478"/>
      <c r="O353" s="57">
        <f t="shared" ref="O353" si="525">O345+O349</f>
        <v>0</v>
      </c>
      <c r="P353" s="57">
        <f t="shared" ref="P353" si="526">SUM(P345:P349)</f>
        <v>0</v>
      </c>
      <c r="Q353" s="47"/>
      <c r="R353" s="47"/>
      <c r="S353" s="47"/>
      <c r="T353" s="48"/>
      <c r="U353" s="462"/>
      <c r="V353" s="462"/>
      <c r="W353" s="36"/>
      <c r="X353" s="49"/>
      <c r="Y353" s="49"/>
      <c r="Z353" s="49"/>
      <c r="AA353" s="49"/>
      <c r="AB353" s="51"/>
      <c r="AC353" s="52"/>
      <c r="AD353" s="465"/>
      <c r="AE353" s="53"/>
      <c r="AF353" s="59"/>
      <c r="AG353" s="60"/>
      <c r="AH353" s="468"/>
      <c r="AI353" s="468"/>
      <c r="AJ353" s="55"/>
      <c r="AK353" s="1"/>
      <c r="AL353" s="438"/>
      <c r="AM353" s="438"/>
      <c r="AN353" s="438"/>
      <c r="AO353" s="438"/>
      <c r="AP353" s="438"/>
      <c r="AQ353" s="438"/>
      <c r="AR353" s="438"/>
      <c r="AS353" s="438"/>
      <c r="AT353" s="29"/>
      <c r="AU353" s="30"/>
      <c r="AV353" s="30"/>
      <c r="AW353" s="30"/>
      <c r="AX353" s="30"/>
    </row>
    <row r="354" spans="1:50" ht="11.25" customHeight="1">
      <c r="A354" s="1"/>
      <c r="B354" s="443"/>
      <c r="C354" s="446"/>
      <c r="D354" s="449"/>
      <c r="E354" s="452"/>
      <c r="F354" s="455"/>
      <c r="G354" s="455"/>
      <c r="H354" s="472"/>
      <c r="I354" s="474"/>
      <c r="J354" s="474"/>
      <c r="K354" s="472"/>
      <c r="L354" s="61"/>
      <c r="M354" s="61"/>
      <c r="N354" s="477"/>
      <c r="O354" s="62"/>
      <c r="P354" s="62"/>
      <c r="Q354" s="63"/>
      <c r="R354" s="63"/>
      <c r="S354" s="63"/>
      <c r="T354" s="64"/>
      <c r="U354" s="463"/>
      <c r="V354" s="463"/>
      <c r="W354" s="65"/>
      <c r="X354" s="66"/>
      <c r="Y354" s="67"/>
      <c r="Z354" s="67"/>
      <c r="AA354" s="67"/>
      <c r="AB354" s="68"/>
      <c r="AC354" s="69"/>
      <c r="AD354" s="466"/>
      <c r="AE354" s="70"/>
      <c r="AF354" s="71"/>
      <c r="AG354" s="72"/>
      <c r="AH354" s="469"/>
      <c r="AI354" s="469"/>
      <c r="AJ354" s="72"/>
      <c r="AK354" s="1"/>
      <c r="AL354" s="439"/>
      <c r="AM354" s="439"/>
      <c r="AN354" s="439"/>
      <c r="AO354" s="439"/>
      <c r="AP354" s="439"/>
      <c r="AQ354" s="439"/>
      <c r="AR354" s="439"/>
      <c r="AS354" s="439"/>
      <c r="AT354" s="29"/>
      <c r="AU354" s="30"/>
      <c r="AV354" s="30"/>
      <c r="AW354" s="30"/>
      <c r="AX354" s="30"/>
    </row>
    <row r="355" spans="1:50">
      <c r="A355" s="1"/>
      <c r="B355" s="441" t="str">
        <f>IF(B345="","",IF(B345+1&gt;$AB$3,"",B345+1))</f>
        <v/>
      </c>
      <c r="C355" s="444" t="str">
        <f>IF(C345="","",IF(C345+1&gt;$AB$3,"",C345+1))</f>
        <v/>
      </c>
      <c r="D355" s="447" t="str">
        <f>IF(C355="","",WEEKDAY(C355,1))</f>
        <v/>
      </c>
      <c r="E355" s="450" t="str">
        <f>IF($D355="","",IF(NOT(ISERROR(MATCH($C355,祝日テーブル,0)=TRUE)),IF($D355=1,"法定","法定外"),IF($D355=1,"法定",IF($D355=7,"法定外",""))))</f>
        <v/>
      </c>
      <c r="F355" s="453"/>
      <c r="G355" s="453"/>
      <c r="H355" s="470">
        <v>4.1666666666666664E-2</v>
      </c>
      <c r="I355" s="473"/>
      <c r="J355" s="473"/>
      <c r="K355" s="471"/>
      <c r="L355" s="32">
        <f t="shared" ref="L355" si="527">MOD(F355,100)+FLOOR(F355/100,1)*60</f>
        <v>0</v>
      </c>
      <c r="M355" s="32"/>
      <c r="N355" s="475"/>
      <c r="O355" s="33">
        <f t="shared" ref="O355" si="528">IF($I$3= "協力会社",M359,IF(L359&gt;=$L$12,$M$12,IF(L359&gt;0,M359,0)))</f>
        <v>0</v>
      </c>
      <c r="P355" s="33">
        <f t="shared" ref="P355" si="529">SUMIF(AB355:AB364,"1.00",AC355:AC364)+SUMIF(AB355:AB364,"振休取得",AC355:AC364)</f>
        <v>0</v>
      </c>
      <c r="Q355" s="34"/>
      <c r="R355" s="34"/>
      <c r="S355" s="34"/>
      <c r="T355" s="35"/>
      <c r="U355" s="462"/>
      <c r="V355" s="462"/>
      <c r="W355" s="36"/>
      <c r="X355" s="37"/>
      <c r="Y355" s="37"/>
      <c r="Z355" s="37"/>
      <c r="AA355" s="37"/>
      <c r="AB355" s="38"/>
      <c r="AC355" s="39"/>
      <c r="AD355" s="464"/>
      <c r="AE355" s="40"/>
      <c r="AF355" s="41"/>
      <c r="AG355" s="42"/>
      <c r="AH355" s="467"/>
      <c r="AI355" s="467"/>
      <c r="AJ355" s="73"/>
      <c r="AK355" s="1"/>
      <c r="AL355" s="437"/>
      <c r="AM355" s="437"/>
      <c r="AN355" s="437"/>
      <c r="AO355" s="437"/>
      <c r="AP355" s="437"/>
      <c r="AQ355" s="437"/>
      <c r="AR355" s="437"/>
      <c r="AS355" s="437"/>
      <c r="AT355" s="29"/>
      <c r="AU355" s="30"/>
      <c r="AV355" s="30"/>
      <c r="AW355" s="30"/>
      <c r="AX355" s="30"/>
    </row>
    <row r="356" spans="1:50" ht="11.25" customHeight="1">
      <c r="A356" s="1"/>
      <c r="B356" s="442"/>
      <c r="C356" s="445"/>
      <c r="D356" s="448"/>
      <c r="E356" s="451"/>
      <c r="F356" s="454"/>
      <c r="G356" s="454"/>
      <c r="H356" s="471"/>
      <c r="I356" s="473"/>
      <c r="J356" s="473"/>
      <c r="K356" s="471"/>
      <c r="L356" s="44">
        <f t="shared" ref="L356" si="530">MOD(G355,100)+FLOOR(G355/100,1)*60</f>
        <v>0</v>
      </c>
      <c r="M356" s="44"/>
      <c r="N356" s="476"/>
      <c r="O356" s="45"/>
      <c r="P356" s="46"/>
      <c r="Q356" s="47"/>
      <c r="R356" s="47"/>
      <c r="S356" s="47"/>
      <c r="T356" s="48"/>
      <c r="U356" s="462"/>
      <c r="V356" s="462"/>
      <c r="W356" s="36"/>
      <c r="X356" s="49"/>
      <c r="Y356" s="50"/>
      <c r="Z356" s="50"/>
      <c r="AA356" s="50"/>
      <c r="AB356" s="51"/>
      <c r="AC356" s="52"/>
      <c r="AD356" s="465"/>
      <c r="AE356" s="53"/>
      <c r="AF356" s="54"/>
      <c r="AG356" s="55"/>
      <c r="AH356" s="468"/>
      <c r="AI356" s="468"/>
      <c r="AJ356" s="55"/>
      <c r="AK356" s="1"/>
      <c r="AL356" s="438"/>
      <c r="AM356" s="438"/>
      <c r="AN356" s="438"/>
      <c r="AO356" s="438"/>
      <c r="AP356" s="438"/>
      <c r="AQ356" s="438"/>
      <c r="AR356" s="438"/>
      <c r="AS356" s="438"/>
      <c r="AT356" s="29"/>
      <c r="AU356" s="30"/>
      <c r="AV356" s="30"/>
      <c r="AW356" s="30"/>
      <c r="AX356" s="30"/>
    </row>
    <row r="357" spans="1:50" ht="11.25" customHeight="1">
      <c r="A357" s="1"/>
      <c r="B357" s="442"/>
      <c r="C357" s="445"/>
      <c r="D357" s="448"/>
      <c r="E357" s="451"/>
      <c r="F357" s="454"/>
      <c r="G357" s="454"/>
      <c r="H357" s="471"/>
      <c r="I357" s="473"/>
      <c r="J357" s="473"/>
      <c r="K357" s="471"/>
      <c r="L357" s="44">
        <f t="shared" ref="L357" si="531">L356-L355</f>
        <v>0</v>
      </c>
      <c r="M357" s="44"/>
      <c r="N357" s="476"/>
      <c r="O357" s="46"/>
      <c r="P357" s="45">
        <f t="shared" ref="P357" si="532">SUMIF(AB355:AB364,"有休",AC355:AC364)+SUMIF(AB355:AB364,"無給休",AC355:AC364)+SUMIF(AB355:AB364,"振休",AC355:AC364)+SUMIF(AB355:AB364,"特休",AC355:AC364)</f>
        <v>0</v>
      </c>
      <c r="Q357" s="47"/>
      <c r="R357" s="47"/>
      <c r="S357" s="47"/>
      <c r="T357" s="48"/>
      <c r="U357" s="462"/>
      <c r="V357" s="462"/>
      <c r="W357" s="36"/>
      <c r="X357" s="49"/>
      <c r="Y357" s="50"/>
      <c r="Z357" s="50"/>
      <c r="AA357" s="50"/>
      <c r="AB357" s="51"/>
      <c r="AC357" s="52"/>
      <c r="AD357" s="465"/>
      <c r="AE357" s="53"/>
      <c r="AF357" s="54"/>
      <c r="AG357" s="55"/>
      <c r="AH357" s="468"/>
      <c r="AI357" s="468"/>
      <c r="AJ357" s="54"/>
      <c r="AK357" s="1"/>
      <c r="AL357" s="438"/>
      <c r="AM357" s="438"/>
      <c r="AN357" s="438"/>
      <c r="AO357" s="438"/>
      <c r="AP357" s="438"/>
      <c r="AQ357" s="438"/>
      <c r="AR357" s="438"/>
      <c r="AS357" s="438"/>
      <c r="AT357" s="29"/>
      <c r="AU357" s="30"/>
      <c r="AV357" s="30"/>
      <c r="AW357" s="30"/>
      <c r="AX357" s="30"/>
    </row>
    <row r="358" spans="1:50" ht="11.25" customHeight="1">
      <c r="A358" s="1"/>
      <c r="B358" s="442"/>
      <c r="C358" s="445"/>
      <c r="D358" s="448"/>
      <c r="E358" s="451"/>
      <c r="F358" s="454"/>
      <c r="G358" s="454"/>
      <c r="H358" s="471"/>
      <c r="I358" s="473"/>
      <c r="J358" s="473"/>
      <c r="K358" s="471"/>
      <c r="L358" s="44">
        <f t="shared" ref="L358" si="533">ROUNDUP(L357/60,2)</f>
        <v>0</v>
      </c>
      <c r="M358" s="44"/>
      <c r="N358" s="476"/>
      <c r="O358" s="46"/>
      <c r="P358" s="46"/>
      <c r="Q358" s="47"/>
      <c r="R358" s="47"/>
      <c r="S358" s="47"/>
      <c r="T358" s="48"/>
      <c r="U358" s="462"/>
      <c r="V358" s="462"/>
      <c r="W358" s="36"/>
      <c r="X358" s="49"/>
      <c r="Y358" s="50"/>
      <c r="Z358" s="50"/>
      <c r="AA358" s="50"/>
      <c r="AB358" s="51"/>
      <c r="AC358" s="52"/>
      <c r="AD358" s="465"/>
      <c r="AE358" s="53"/>
      <c r="AF358" s="54"/>
      <c r="AG358" s="55"/>
      <c r="AH358" s="468"/>
      <c r="AI358" s="468"/>
      <c r="AJ358" s="55"/>
      <c r="AK358" s="1"/>
      <c r="AL358" s="438"/>
      <c r="AM358" s="438"/>
      <c r="AN358" s="438"/>
      <c r="AO358" s="438"/>
      <c r="AP358" s="438"/>
      <c r="AQ358" s="438"/>
      <c r="AR358" s="438"/>
      <c r="AS358" s="438"/>
      <c r="AT358" s="29"/>
      <c r="AU358" s="30"/>
      <c r="AV358" s="30"/>
      <c r="AW358" s="30"/>
      <c r="AX358" s="30"/>
    </row>
    <row r="359" spans="1:50" ht="11.25" customHeight="1">
      <c r="A359" s="1"/>
      <c r="B359" s="442"/>
      <c r="C359" s="445"/>
      <c r="D359" s="448"/>
      <c r="E359" s="451"/>
      <c r="F359" s="454"/>
      <c r="G359" s="454"/>
      <c r="H359" s="471"/>
      <c r="I359" s="473"/>
      <c r="J359" s="473"/>
      <c r="K359" s="471"/>
      <c r="L359" s="44">
        <f t="shared" ref="L359" si="534">IF(L358&gt;0,L358-HOUR(H355)-MINUTE(H355)/60,0)</f>
        <v>0</v>
      </c>
      <c r="M359" s="56">
        <f t="shared" ref="M359" si="535">TIME(L359-MOD(L359,1),MOD(L359,1)*60,0)</f>
        <v>0</v>
      </c>
      <c r="N359" s="476"/>
      <c r="O359" s="45">
        <f t="shared" ref="O359" si="536">M361</f>
        <v>0</v>
      </c>
      <c r="P359" s="45">
        <f t="shared" ref="P359" si="537">SUMIF(AB355:AB364,"1.25",AC355:AC364)+SUMIF(AB355:AB364,"他時間外",AC355:AC364)+SUMIF(AB355:AB364,"1.35",AC355:AC364)</f>
        <v>0</v>
      </c>
      <c r="Q359" s="47"/>
      <c r="R359" s="47"/>
      <c r="S359" s="47"/>
      <c r="T359" s="48"/>
      <c r="U359" s="462"/>
      <c r="V359" s="462"/>
      <c r="W359" s="36"/>
      <c r="X359" s="49"/>
      <c r="Y359" s="50"/>
      <c r="Z359" s="50"/>
      <c r="AA359" s="50"/>
      <c r="AB359" s="51"/>
      <c r="AC359" s="52"/>
      <c r="AD359" s="465"/>
      <c r="AE359" s="53"/>
      <c r="AF359" s="54"/>
      <c r="AG359" s="55"/>
      <c r="AH359" s="468"/>
      <c r="AI359" s="468"/>
      <c r="AJ359" s="55"/>
      <c r="AK359" s="1"/>
      <c r="AL359" s="438"/>
      <c r="AM359" s="438"/>
      <c r="AN359" s="438"/>
      <c r="AO359" s="438"/>
      <c r="AP359" s="438"/>
      <c r="AQ359" s="438"/>
      <c r="AR359" s="438"/>
      <c r="AS359" s="438"/>
      <c r="AT359" s="29"/>
      <c r="AU359" s="30"/>
      <c r="AV359" s="30"/>
      <c r="AW359" s="30"/>
      <c r="AX359" s="30"/>
    </row>
    <row r="360" spans="1:50" ht="11.25" customHeight="1">
      <c r="A360" s="1"/>
      <c r="B360" s="442"/>
      <c r="C360" s="445"/>
      <c r="D360" s="448"/>
      <c r="E360" s="451"/>
      <c r="F360" s="454"/>
      <c r="G360" s="454"/>
      <c r="H360" s="471"/>
      <c r="I360" s="473"/>
      <c r="J360" s="473"/>
      <c r="K360" s="471"/>
      <c r="L360" s="44">
        <f t="shared" ref="L360" si="538">L359-$L$12</f>
        <v>-7.75</v>
      </c>
      <c r="M360" s="44"/>
      <c r="N360" s="476"/>
      <c r="O360" s="46"/>
      <c r="P360" s="46"/>
      <c r="Q360" s="47"/>
      <c r="R360" s="47"/>
      <c r="S360" s="47"/>
      <c r="T360" s="48"/>
      <c r="U360" s="462"/>
      <c r="V360" s="462"/>
      <c r="W360" s="36"/>
      <c r="X360" s="49"/>
      <c r="Y360" s="50"/>
      <c r="Z360" s="50"/>
      <c r="AA360" s="50"/>
      <c r="AB360" s="51"/>
      <c r="AC360" s="52"/>
      <c r="AD360" s="465"/>
      <c r="AE360" s="53"/>
      <c r="AF360" s="54"/>
      <c r="AG360" s="55"/>
      <c r="AH360" s="468"/>
      <c r="AI360" s="468"/>
      <c r="AJ360" s="55"/>
      <c r="AK360" s="1"/>
      <c r="AL360" s="438"/>
      <c r="AM360" s="438"/>
      <c r="AN360" s="438"/>
      <c r="AO360" s="438"/>
      <c r="AP360" s="438"/>
      <c r="AQ360" s="438"/>
      <c r="AR360" s="438"/>
      <c r="AS360" s="438"/>
      <c r="AT360" s="29"/>
      <c r="AU360" s="30"/>
      <c r="AV360" s="30"/>
      <c r="AW360" s="30"/>
      <c r="AX360" s="30"/>
    </row>
    <row r="361" spans="1:50" ht="11.25" customHeight="1">
      <c r="A361" s="1"/>
      <c r="B361" s="442"/>
      <c r="C361" s="445"/>
      <c r="D361" s="448"/>
      <c r="E361" s="451"/>
      <c r="F361" s="454"/>
      <c r="G361" s="454"/>
      <c r="H361" s="471"/>
      <c r="I361" s="473"/>
      <c r="J361" s="473"/>
      <c r="K361" s="471"/>
      <c r="L361" s="44">
        <f t="shared" ref="L361" si="539">IF($I$3= "協力会社",0,IF(L360&gt;0,L360,0))</f>
        <v>0</v>
      </c>
      <c r="M361" s="56">
        <f t="shared" ref="M361" si="540">TIME(L361-MOD(L361,1),MOD(L361,1)*60,0)</f>
        <v>0</v>
      </c>
      <c r="N361" s="476"/>
      <c r="O361" s="46"/>
      <c r="P361" s="45">
        <f t="shared" ref="P361" si="541">SUMIF(AB355:AB364,"0.25深夜",AC355:AC364)</f>
        <v>0</v>
      </c>
      <c r="Q361" s="47"/>
      <c r="R361" s="47"/>
      <c r="S361" s="47"/>
      <c r="T361" s="48"/>
      <c r="U361" s="462"/>
      <c r="V361" s="462"/>
      <c r="W361" s="36"/>
      <c r="X361" s="49"/>
      <c r="Y361" s="50"/>
      <c r="Z361" s="50"/>
      <c r="AA361" s="50"/>
      <c r="AB361" s="51"/>
      <c r="AC361" s="52"/>
      <c r="AD361" s="465"/>
      <c r="AE361" s="53"/>
      <c r="AF361" s="54"/>
      <c r="AG361" s="55"/>
      <c r="AH361" s="468"/>
      <c r="AI361" s="468"/>
      <c r="AJ361" s="55"/>
      <c r="AK361" s="1"/>
      <c r="AL361" s="438"/>
      <c r="AM361" s="438"/>
      <c r="AN361" s="438"/>
      <c r="AO361" s="438"/>
      <c r="AP361" s="438"/>
      <c r="AQ361" s="438"/>
      <c r="AR361" s="438"/>
      <c r="AS361" s="438"/>
      <c r="AT361" s="29"/>
      <c r="AU361" s="30"/>
      <c r="AV361" s="30"/>
      <c r="AW361" s="30"/>
      <c r="AX361" s="30"/>
    </row>
    <row r="362" spans="1:50" ht="11.25" customHeight="1">
      <c r="A362" s="1"/>
      <c r="B362" s="442"/>
      <c r="C362" s="445"/>
      <c r="D362" s="448"/>
      <c r="E362" s="451"/>
      <c r="F362" s="454"/>
      <c r="G362" s="454"/>
      <c r="H362" s="471"/>
      <c r="I362" s="473"/>
      <c r="J362" s="473"/>
      <c r="K362" s="471"/>
      <c r="L362" s="44"/>
      <c r="M362" s="44"/>
      <c r="N362" s="476"/>
      <c r="O362" s="46"/>
      <c r="P362" s="46"/>
      <c r="Q362" s="47"/>
      <c r="R362" s="47"/>
      <c r="S362" s="47"/>
      <c r="T362" s="48"/>
      <c r="U362" s="462"/>
      <c r="V362" s="462"/>
      <c r="W362" s="36"/>
      <c r="X362" s="49"/>
      <c r="Y362" s="50"/>
      <c r="Z362" s="50"/>
      <c r="AA362" s="50"/>
      <c r="AB362" s="51"/>
      <c r="AC362" s="52"/>
      <c r="AD362" s="465"/>
      <c r="AE362" s="53"/>
      <c r="AF362" s="54"/>
      <c r="AG362" s="55"/>
      <c r="AH362" s="468"/>
      <c r="AI362" s="468"/>
      <c r="AJ362" s="55"/>
      <c r="AK362" s="1"/>
      <c r="AL362" s="438"/>
      <c r="AM362" s="438"/>
      <c r="AN362" s="438"/>
      <c r="AO362" s="438"/>
      <c r="AP362" s="438"/>
      <c r="AQ362" s="438"/>
      <c r="AR362" s="438"/>
      <c r="AS362" s="438"/>
      <c r="AT362" s="29"/>
      <c r="AU362" s="30"/>
      <c r="AV362" s="30"/>
      <c r="AW362" s="30"/>
      <c r="AX362" s="30"/>
    </row>
    <row r="363" spans="1:50" ht="11.25" customHeight="1">
      <c r="A363" s="1"/>
      <c r="B363" s="442"/>
      <c r="C363" s="445"/>
      <c r="D363" s="448"/>
      <c r="E363" s="451"/>
      <c r="F363" s="454"/>
      <c r="G363" s="454"/>
      <c r="H363" s="471"/>
      <c r="I363" s="473"/>
      <c r="J363" s="473"/>
      <c r="K363" s="471"/>
      <c r="L363" s="44"/>
      <c r="M363" s="44"/>
      <c r="N363" s="478"/>
      <c r="O363" s="57">
        <f t="shared" ref="O363" si="542">O355+O359</f>
        <v>0</v>
      </c>
      <c r="P363" s="57">
        <f t="shared" ref="P363" si="543">SUM(P355:P359)</f>
        <v>0</v>
      </c>
      <c r="Q363" s="47"/>
      <c r="R363" s="47"/>
      <c r="S363" s="47"/>
      <c r="T363" s="48"/>
      <c r="U363" s="462"/>
      <c r="V363" s="462"/>
      <c r="W363" s="36"/>
      <c r="X363" s="49"/>
      <c r="Y363" s="49"/>
      <c r="Z363" s="49"/>
      <c r="AA363" s="49"/>
      <c r="AB363" s="51"/>
      <c r="AC363" s="52"/>
      <c r="AD363" s="465"/>
      <c r="AE363" s="53"/>
      <c r="AF363" s="59"/>
      <c r="AG363" s="60"/>
      <c r="AH363" s="468"/>
      <c r="AI363" s="468"/>
      <c r="AJ363" s="55"/>
      <c r="AK363" s="1"/>
      <c r="AL363" s="438"/>
      <c r="AM363" s="438"/>
      <c r="AN363" s="438"/>
      <c r="AO363" s="438"/>
      <c r="AP363" s="438"/>
      <c r="AQ363" s="438"/>
      <c r="AR363" s="438"/>
      <c r="AS363" s="438"/>
      <c r="AT363" s="29"/>
      <c r="AU363" s="30"/>
      <c r="AV363" s="30"/>
      <c r="AW363" s="30"/>
      <c r="AX363" s="30"/>
    </row>
    <row r="364" spans="1:50" ht="11.25" customHeight="1">
      <c r="A364" s="1"/>
      <c r="B364" s="443"/>
      <c r="C364" s="446"/>
      <c r="D364" s="449"/>
      <c r="E364" s="452"/>
      <c r="F364" s="455"/>
      <c r="G364" s="455"/>
      <c r="H364" s="472"/>
      <c r="I364" s="474"/>
      <c r="J364" s="474"/>
      <c r="K364" s="472"/>
      <c r="L364" s="61"/>
      <c r="M364" s="61"/>
      <c r="N364" s="477"/>
      <c r="O364" s="62"/>
      <c r="P364" s="62"/>
      <c r="Q364" s="63"/>
      <c r="R364" s="63"/>
      <c r="S364" s="63"/>
      <c r="T364" s="64"/>
      <c r="U364" s="463"/>
      <c r="V364" s="463"/>
      <c r="W364" s="65"/>
      <c r="X364" s="66"/>
      <c r="Y364" s="67"/>
      <c r="Z364" s="67"/>
      <c r="AA364" s="67"/>
      <c r="AB364" s="68"/>
      <c r="AC364" s="69"/>
      <c r="AD364" s="466"/>
      <c r="AE364" s="70"/>
      <c r="AF364" s="71"/>
      <c r="AG364" s="72"/>
      <c r="AH364" s="469"/>
      <c r="AI364" s="469"/>
      <c r="AJ364" s="72"/>
      <c r="AK364" s="1"/>
      <c r="AL364" s="439"/>
      <c r="AM364" s="439"/>
      <c r="AN364" s="439"/>
      <c r="AO364" s="439"/>
      <c r="AP364" s="439"/>
      <c r="AQ364" s="439"/>
      <c r="AR364" s="439"/>
      <c r="AS364" s="439"/>
      <c r="AT364" s="29"/>
      <c r="AU364" s="30"/>
      <c r="AV364" s="30"/>
      <c r="AW364" s="30"/>
      <c r="AX364" s="30"/>
    </row>
    <row r="365" spans="1:50">
      <c r="A365" s="1"/>
      <c r="B365" s="441" t="str">
        <f>IF(B355="","",IF(B355+1&gt;$AB$3,"",B355+1))</f>
        <v/>
      </c>
      <c r="C365" s="444" t="str">
        <f>IF(C355="","",IF(C355+1&gt;$AB$3,"",C355+1))</f>
        <v/>
      </c>
      <c r="D365" s="447" t="str">
        <f>IF(C365="","",WEEKDAY(C365,1))</f>
        <v/>
      </c>
      <c r="E365" s="450" t="str">
        <f>IF($D365="","",IF(NOT(ISERROR(MATCH($C365,祝日テーブル,0)=TRUE)),IF($D365=1,"法定","法定外"),IF($D365=1,"法定",IF($D365=7,"法定外",""))))</f>
        <v/>
      </c>
      <c r="F365" s="453"/>
      <c r="G365" s="453"/>
      <c r="H365" s="470">
        <v>4.1666666666666664E-2</v>
      </c>
      <c r="I365" s="473"/>
      <c r="J365" s="473"/>
      <c r="K365" s="471"/>
      <c r="L365" s="32">
        <f t="shared" ref="L365" si="544">MOD(F365,100)+FLOOR(F365/100,1)*60</f>
        <v>0</v>
      </c>
      <c r="M365" s="32"/>
      <c r="N365" s="475"/>
      <c r="O365" s="33">
        <f t="shared" ref="O365" si="545">IF($I$3= "協力会社",M369,IF(L369&gt;=$L$12,$M$12,IF(L369&gt;0,M369,0)))</f>
        <v>0</v>
      </c>
      <c r="P365" s="33">
        <f t="shared" ref="P365" si="546">SUMIF(AB365:AB374,"1.00",AC365:AC374)+SUMIF(AB365:AB374,"振休取得",AC365:AC374)</f>
        <v>0</v>
      </c>
      <c r="Q365" s="34"/>
      <c r="R365" s="34"/>
      <c r="S365" s="34"/>
      <c r="T365" s="35"/>
      <c r="U365" s="462"/>
      <c r="V365" s="462"/>
      <c r="W365" s="36"/>
      <c r="X365" s="37"/>
      <c r="Y365" s="37"/>
      <c r="Z365" s="37"/>
      <c r="AA365" s="37"/>
      <c r="AB365" s="38"/>
      <c r="AC365" s="39"/>
      <c r="AD365" s="464"/>
      <c r="AE365" s="40"/>
      <c r="AF365" s="41"/>
      <c r="AG365" s="42"/>
      <c r="AH365" s="467"/>
      <c r="AI365" s="467"/>
      <c r="AJ365" s="73"/>
      <c r="AK365" s="1"/>
      <c r="AL365" s="437"/>
      <c r="AM365" s="437"/>
      <c r="AN365" s="437"/>
      <c r="AO365" s="437"/>
      <c r="AP365" s="437"/>
      <c r="AQ365" s="437"/>
      <c r="AR365" s="437"/>
      <c r="AS365" s="437"/>
      <c r="AT365" s="29"/>
      <c r="AU365" s="30"/>
      <c r="AV365" s="30"/>
      <c r="AW365" s="30"/>
      <c r="AX365" s="30"/>
    </row>
    <row r="366" spans="1:50" ht="11.25" customHeight="1">
      <c r="A366" s="1"/>
      <c r="B366" s="442"/>
      <c r="C366" s="445"/>
      <c r="D366" s="448"/>
      <c r="E366" s="451"/>
      <c r="F366" s="454"/>
      <c r="G366" s="454"/>
      <c r="H366" s="471"/>
      <c r="I366" s="473"/>
      <c r="J366" s="473"/>
      <c r="K366" s="471"/>
      <c r="L366" s="44">
        <f t="shared" ref="L366" si="547">MOD(G365,100)+FLOOR(G365/100,1)*60</f>
        <v>0</v>
      </c>
      <c r="M366" s="44"/>
      <c r="N366" s="476"/>
      <c r="O366" s="45"/>
      <c r="P366" s="46"/>
      <c r="Q366" s="47"/>
      <c r="R366" s="47"/>
      <c r="S366" s="47"/>
      <c r="T366" s="48"/>
      <c r="U366" s="462"/>
      <c r="V366" s="462"/>
      <c r="W366" s="36"/>
      <c r="X366" s="49"/>
      <c r="Y366" s="50"/>
      <c r="Z366" s="50"/>
      <c r="AA366" s="50"/>
      <c r="AB366" s="51"/>
      <c r="AC366" s="52"/>
      <c r="AD366" s="465"/>
      <c r="AE366" s="53"/>
      <c r="AF366" s="54"/>
      <c r="AG366" s="55"/>
      <c r="AH366" s="468"/>
      <c r="AI366" s="468"/>
      <c r="AJ366" s="55"/>
      <c r="AK366" s="1"/>
      <c r="AL366" s="438"/>
      <c r="AM366" s="438"/>
      <c r="AN366" s="438"/>
      <c r="AO366" s="438"/>
      <c r="AP366" s="438"/>
      <c r="AQ366" s="438"/>
      <c r="AR366" s="438"/>
      <c r="AS366" s="438"/>
      <c r="AT366" s="29"/>
      <c r="AU366" s="30"/>
      <c r="AV366" s="30"/>
      <c r="AW366" s="30"/>
      <c r="AX366" s="30"/>
    </row>
    <row r="367" spans="1:50" ht="11.25" customHeight="1">
      <c r="A367" s="1"/>
      <c r="B367" s="442"/>
      <c r="C367" s="445"/>
      <c r="D367" s="448"/>
      <c r="E367" s="451"/>
      <c r="F367" s="454"/>
      <c r="G367" s="454"/>
      <c r="H367" s="471"/>
      <c r="I367" s="473"/>
      <c r="J367" s="473"/>
      <c r="K367" s="471"/>
      <c r="L367" s="44">
        <f t="shared" ref="L367" si="548">L366-L365</f>
        <v>0</v>
      </c>
      <c r="M367" s="44"/>
      <c r="N367" s="476"/>
      <c r="O367" s="46"/>
      <c r="P367" s="45">
        <f t="shared" ref="P367" si="549">SUMIF(AB365:AB374,"有休",AC365:AC374)+SUMIF(AB365:AB374,"無給休",AC365:AC374)+SUMIF(AB365:AB374,"振休",AC365:AC374)+SUMIF(AB365:AB374,"特休",AC365:AC374)</f>
        <v>0</v>
      </c>
      <c r="Q367" s="47"/>
      <c r="R367" s="47"/>
      <c r="S367" s="47"/>
      <c r="T367" s="48"/>
      <c r="U367" s="462"/>
      <c r="V367" s="462"/>
      <c r="W367" s="36"/>
      <c r="X367" s="49"/>
      <c r="Y367" s="50"/>
      <c r="Z367" s="50"/>
      <c r="AA367" s="50"/>
      <c r="AB367" s="51"/>
      <c r="AC367" s="52"/>
      <c r="AD367" s="465"/>
      <c r="AE367" s="53"/>
      <c r="AF367" s="54"/>
      <c r="AG367" s="55"/>
      <c r="AH367" s="468"/>
      <c r="AI367" s="468"/>
      <c r="AJ367" s="54"/>
      <c r="AK367" s="1"/>
      <c r="AL367" s="438"/>
      <c r="AM367" s="438"/>
      <c r="AN367" s="438"/>
      <c r="AO367" s="438"/>
      <c r="AP367" s="438"/>
      <c r="AQ367" s="438"/>
      <c r="AR367" s="438"/>
      <c r="AS367" s="438"/>
      <c r="AT367" s="29"/>
      <c r="AU367" s="30"/>
      <c r="AV367" s="30"/>
      <c r="AW367" s="30"/>
      <c r="AX367" s="30"/>
    </row>
    <row r="368" spans="1:50" ht="11.25" customHeight="1">
      <c r="A368" s="1"/>
      <c r="B368" s="442"/>
      <c r="C368" s="445"/>
      <c r="D368" s="448"/>
      <c r="E368" s="451"/>
      <c r="F368" s="454"/>
      <c r="G368" s="454"/>
      <c r="H368" s="471"/>
      <c r="I368" s="473"/>
      <c r="J368" s="473"/>
      <c r="K368" s="471"/>
      <c r="L368" s="44">
        <f t="shared" ref="L368" si="550">ROUNDUP(L367/60,2)</f>
        <v>0</v>
      </c>
      <c r="M368" s="44"/>
      <c r="N368" s="476"/>
      <c r="O368" s="46"/>
      <c r="P368" s="46"/>
      <c r="Q368" s="47"/>
      <c r="R368" s="47"/>
      <c r="S368" s="47"/>
      <c r="T368" s="48"/>
      <c r="U368" s="462"/>
      <c r="V368" s="462"/>
      <c r="W368" s="36"/>
      <c r="X368" s="49"/>
      <c r="Y368" s="50"/>
      <c r="Z368" s="50"/>
      <c r="AA368" s="50"/>
      <c r="AB368" s="51"/>
      <c r="AC368" s="52"/>
      <c r="AD368" s="465"/>
      <c r="AE368" s="53"/>
      <c r="AF368" s="54"/>
      <c r="AG368" s="55"/>
      <c r="AH368" s="468"/>
      <c r="AI368" s="468"/>
      <c r="AJ368" s="55"/>
      <c r="AK368" s="1"/>
      <c r="AL368" s="438"/>
      <c r="AM368" s="438"/>
      <c r="AN368" s="438"/>
      <c r="AO368" s="438"/>
      <c r="AP368" s="438"/>
      <c r="AQ368" s="438"/>
      <c r="AR368" s="438"/>
      <c r="AS368" s="438"/>
      <c r="AT368" s="29"/>
      <c r="AU368" s="30"/>
      <c r="AV368" s="30"/>
      <c r="AW368" s="30"/>
      <c r="AX368" s="30"/>
    </row>
    <row r="369" spans="1:50" ht="11.25" customHeight="1">
      <c r="A369" s="1"/>
      <c r="B369" s="442"/>
      <c r="C369" s="445"/>
      <c r="D369" s="448"/>
      <c r="E369" s="451"/>
      <c r="F369" s="454"/>
      <c r="G369" s="454"/>
      <c r="H369" s="471"/>
      <c r="I369" s="473"/>
      <c r="J369" s="473"/>
      <c r="K369" s="471"/>
      <c r="L369" s="44">
        <f t="shared" ref="L369" si="551">IF(L368&gt;0,L368-HOUR(H365)-MINUTE(H365)/60,0)</f>
        <v>0</v>
      </c>
      <c r="M369" s="56">
        <f t="shared" ref="M369" si="552">TIME(L369-MOD(L369,1),MOD(L369,1)*60,0)</f>
        <v>0</v>
      </c>
      <c r="N369" s="476"/>
      <c r="O369" s="45">
        <f t="shared" ref="O369" si="553">M371</f>
        <v>0</v>
      </c>
      <c r="P369" s="45">
        <f t="shared" ref="P369" si="554">SUMIF(AB365:AB374,"1.25",AC365:AC374)+SUMIF(AB365:AB374,"他時間外",AC365:AC374)+SUMIF(AB365:AB374,"1.35",AC365:AC374)</f>
        <v>0</v>
      </c>
      <c r="Q369" s="47"/>
      <c r="R369" s="47"/>
      <c r="S369" s="47"/>
      <c r="T369" s="48"/>
      <c r="U369" s="462"/>
      <c r="V369" s="462"/>
      <c r="W369" s="36"/>
      <c r="X369" s="49"/>
      <c r="Y369" s="50"/>
      <c r="Z369" s="50"/>
      <c r="AA369" s="50"/>
      <c r="AB369" s="51"/>
      <c r="AC369" s="52"/>
      <c r="AD369" s="465"/>
      <c r="AE369" s="53"/>
      <c r="AF369" s="54"/>
      <c r="AG369" s="55"/>
      <c r="AH369" s="468"/>
      <c r="AI369" s="468"/>
      <c r="AJ369" s="55"/>
      <c r="AK369" s="1"/>
      <c r="AL369" s="438"/>
      <c r="AM369" s="438"/>
      <c r="AN369" s="438"/>
      <c r="AO369" s="438"/>
      <c r="AP369" s="438"/>
      <c r="AQ369" s="438"/>
      <c r="AR369" s="438"/>
      <c r="AS369" s="438"/>
      <c r="AT369" s="29"/>
      <c r="AU369" s="30"/>
      <c r="AV369" s="30"/>
      <c r="AW369" s="30"/>
      <c r="AX369" s="30"/>
    </row>
    <row r="370" spans="1:50" ht="11.25" customHeight="1">
      <c r="A370" s="1"/>
      <c r="B370" s="442"/>
      <c r="C370" s="445"/>
      <c r="D370" s="448"/>
      <c r="E370" s="451"/>
      <c r="F370" s="454"/>
      <c r="G370" s="454"/>
      <c r="H370" s="471"/>
      <c r="I370" s="473"/>
      <c r="J370" s="473"/>
      <c r="K370" s="471"/>
      <c r="L370" s="44">
        <f t="shared" ref="L370" si="555">L369-$L$12</f>
        <v>-7.75</v>
      </c>
      <c r="M370" s="44"/>
      <c r="N370" s="476"/>
      <c r="O370" s="46"/>
      <c r="P370" s="46"/>
      <c r="Q370" s="47"/>
      <c r="R370" s="47"/>
      <c r="S370" s="47"/>
      <c r="T370" s="48"/>
      <c r="U370" s="462"/>
      <c r="V370" s="462"/>
      <c r="W370" s="36"/>
      <c r="X370" s="49"/>
      <c r="Y370" s="50"/>
      <c r="Z370" s="50"/>
      <c r="AA370" s="50"/>
      <c r="AB370" s="51"/>
      <c r="AC370" s="52"/>
      <c r="AD370" s="465"/>
      <c r="AE370" s="53"/>
      <c r="AF370" s="54"/>
      <c r="AG370" s="55"/>
      <c r="AH370" s="468"/>
      <c r="AI370" s="468"/>
      <c r="AJ370" s="55"/>
      <c r="AK370" s="1"/>
      <c r="AL370" s="438"/>
      <c r="AM370" s="438"/>
      <c r="AN370" s="438"/>
      <c r="AO370" s="438"/>
      <c r="AP370" s="438"/>
      <c r="AQ370" s="438"/>
      <c r="AR370" s="438"/>
      <c r="AS370" s="438"/>
      <c r="AT370" s="29"/>
      <c r="AU370" s="30"/>
      <c r="AV370" s="30"/>
      <c r="AW370" s="30"/>
      <c r="AX370" s="30"/>
    </row>
    <row r="371" spans="1:50" ht="11.25" customHeight="1">
      <c r="A371" s="1"/>
      <c r="B371" s="442"/>
      <c r="C371" s="445"/>
      <c r="D371" s="448"/>
      <c r="E371" s="451"/>
      <c r="F371" s="454"/>
      <c r="G371" s="454"/>
      <c r="H371" s="471"/>
      <c r="I371" s="473"/>
      <c r="J371" s="473"/>
      <c r="K371" s="471"/>
      <c r="L371" s="44">
        <f t="shared" ref="L371" si="556">IF($I$3= "協力会社",0,IF(L370&gt;0,L370,0))</f>
        <v>0</v>
      </c>
      <c r="M371" s="56">
        <f t="shared" ref="M371" si="557">TIME(L371-MOD(L371,1),MOD(L371,1)*60,0)</f>
        <v>0</v>
      </c>
      <c r="N371" s="476"/>
      <c r="O371" s="46"/>
      <c r="P371" s="45">
        <f t="shared" ref="P371" si="558">SUMIF(AB365:AB374,"0.25深夜",AC365:AC374)</f>
        <v>0</v>
      </c>
      <c r="Q371" s="47"/>
      <c r="R371" s="47"/>
      <c r="S371" s="47"/>
      <c r="T371" s="48"/>
      <c r="U371" s="462"/>
      <c r="V371" s="462"/>
      <c r="W371" s="36"/>
      <c r="X371" s="49"/>
      <c r="Y371" s="50"/>
      <c r="Z371" s="50"/>
      <c r="AA371" s="50"/>
      <c r="AB371" s="51"/>
      <c r="AC371" s="52"/>
      <c r="AD371" s="465"/>
      <c r="AE371" s="53"/>
      <c r="AF371" s="54"/>
      <c r="AG371" s="55"/>
      <c r="AH371" s="468"/>
      <c r="AI371" s="468"/>
      <c r="AJ371" s="55"/>
      <c r="AK371" s="1"/>
      <c r="AL371" s="438"/>
      <c r="AM371" s="438"/>
      <c r="AN371" s="438"/>
      <c r="AO371" s="438"/>
      <c r="AP371" s="438"/>
      <c r="AQ371" s="438"/>
      <c r="AR371" s="438"/>
      <c r="AS371" s="438"/>
      <c r="AT371" s="29"/>
      <c r="AU371" s="30"/>
      <c r="AV371" s="30"/>
      <c r="AW371" s="30"/>
      <c r="AX371" s="30"/>
    </row>
    <row r="372" spans="1:50" ht="11.25" customHeight="1">
      <c r="A372" s="1"/>
      <c r="B372" s="442"/>
      <c r="C372" s="445"/>
      <c r="D372" s="448"/>
      <c r="E372" s="451"/>
      <c r="F372" s="454"/>
      <c r="G372" s="454"/>
      <c r="H372" s="471"/>
      <c r="I372" s="473"/>
      <c r="J372" s="473"/>
      <c r="K372" s="471"/>
      <c r="L372" s="44"/>
      <c r="M372" s="44"/>
      <c r="N372" s="476"/>
      <c r="O372" s="46"/>
      <c r="P372" s="46"/>
      <c r="Q372" s="47"/>
      <c r="R372" s="47"/>
      <c r="S372" s="47"/>
      <c r="T372" s="48"/>
      <c r="U372" s="462"/>
      <c r="V372" s="462"/>
      <c r="W372" s="36"/>
      <c r="X372" s="49"/>
      <c r="Y372" s="50"/>
      <c r="Z372" s="50"/>
      <c r="AA372" s="50"/>
      <c r="AB372" s="51"/>
      <c r="AC372" s="52"/>
      <c r="AD372" s="465"/>
      <c r="AE372" s="53"/>
      <c r="AF372" s="54"/>
      <c r="AG372" s="55"/>
      <c r="AH372" s="468"/>
      <c r="AI372" s="468"/>
      <c r="AJ372" s="55"/>
      <c r="AK372" s="1"/>
      <c r="AL372" s="438"/>
      <c r="AM372" s="438"/>
      <c r="AN372" s="438"/>
      <c r="AO372" s="438"/>
      <c r="AP372" s="438"/>
      <c r="AQ372" s="438"/>
      <c r="AR372" s="438"/>
      <c r="AS372" s="438"/>
      <c r="AT372" s="29"/>
      <c r="AU372" s="30"/>
      <c r="AV372" s="30"/>
      <c r="AW372" s="30"/>
      <c r="AX372" s="30"/>
    </row>
    <row r="373" spans="1:50" ht="11.25" customHeight="1">
      <c r="A373" s="1"/>
      <c r="B373" s="442"/>
      <c r="C373" s="445"/>
      <c r="D373" s="448"/>
      <c r="E373" s="451"/>
      <c r="F373" s="454"/>
      <c r="G373" s="454"/>
      <c r="H373" s="471"/>
      <c r="I373" s="473"/>
      <c r="J373" s="473"/>
      <c r="K373" s="471"/>
      <c r="L373" s="44"/>
      <c r="M373" s="44"/>
      <c r="N373" s="478"/>
      <c r="O373" s="57">
        <f t="shared" ref="O373" si="559">O365+O369</f>
        <v>0</v>
      </c>
      <c r="P373" s="57">
        <f t="shared" ref="P373" si="560">SUM(P365:P369)</f>
        <v>0</v>
      </c>
      <c r="Q373" s="47"/>
      <c r="R373" s="47"/>
      <c r="S373" s="47"/>
      <c r="T373" s="48"/>
      <c r="U373" s="462"/>
      <c r="V373" s="462"/>
      <c r="W373" s="36"/>
      <c r="X373" s="49"/>
      <c r="Y373" s="49"/>
      <c r="Z373" s="49"/>
      <c r="AA373" s="49"/>
      <c r="AB373" s="51"/>
      <c r="AC373" s="52"/>
      <c r="AD373" s="465"/>
      <c r="AE373" s="53"/>
      <c r="AF373" s="59"/>
      <c r="AG373" s="60"/>
      <c r="AH373" s="468"/>
      <c r="AI373" s="468"/>
      <c r="AJ373" s="55"/>
      <c r="AK373" s="1"/>
      <c r="AL373" s="438"/>
      <c r="AM373" s="438"/>
      <c r="AN373" s="438"/>
      <c r="AO373" s="438"/>
      <c r="AP373" s="438"/>
      <c r="AQ373" s="438"/>
      <c r="AR373" s="438"/>
      <c r="AS373" s="438"/>
      <c r="AT373" s="29"/>
      <c r="AU373" s="30"/>
      <c r="AV373" s="30"/>
      <c r="AW373" s="30"/>
      <c r="AX373" s="30"/>
    </row>
    <row r="374" spans="1:50" ht="11.25" customHeight="1">
      <c r="A374" s="1"/>
      <c r="B374" s="443"/>
      <c r="C374" s="446"/>
      <c r="D374" s="449"/>
      <c r="E374" s="452"/>
      <c r="F374" s="455"/>
      <c r="G374" s="455"/>
      <c r="H374" s="472"/>
      <c r="I374" s="474"/>
      <c r="J374" s="474"/>
      <c r="K374" s="472"/>
      <c r="L374" s="61"/>
      <c r="M374" s="61"/>
      <c r="N374" s="477"/>
      <c r="O374" s="62"/>
      <c r="P374" s="62"/>
      <c r="Q374" s="63"/>
      <c r="R374" s="63"/>
      <c r="S374" s="63"/>
      <c r="T374" s="64"/>
      <c r="U374" s="463"/>
      <c r="V374" s="463"/>
      <c r="W374" s="65"/>
      <c r="X374" s="66"/>
      <c r="Y374" s="67"/>
      <c r="Z374" s="67"/>
      <c r="AA374" s="67"/>
      <c r="AB374" s="68"/>
      <c r="AC374" s="69"/>
      <c r="AD374" s="466"/>
      <c r="AE374" s="70"/>
      <c r="AF374" s="71"/>
      <c r="AG374" s="72"/>
      <c r="AH374" s="469"/>
      <c r="AI374" s="469"/>
      <c r="AJ374" s="72"/>
      <c r="AK374" s="1"/>
      <c r="AL374" s="439"/>
      <c r="AM374" s="439"/>
      <c r="AN374" s="439"/>
      <c r="AO374" s="439"/>
      <c r="AP374" s="439"/>
      <c r="AQ374" s="439"/>
      <c r="AR374" s="439"/>
      <c r="AS374" s="439"/>
      <c r="AT374" s="29"/>
      <c r="AU374" s="30"/>
      <c r="AV374" s="30"/>
      <c r="AW374" s="30"/>
      <c r="AX374" s="30"/>
    </row>
    <row r="375" spans="1:50">
      <c r="A375" s="1"/>
      <c r="B375" s="441" t="str">
        <f>IF(B365="","",IF(B365+1&gt;$AB$3,"",B365+1))</f>
        <v/>
      </c>
      <c r="C375" s="444" t="str">
        <f>IF(C365="","",IF(C365+1&gt;$AB$3,"",C365+1))</f>
        <v/>
      </c>
      <c r="D375" s="447" t="str">
        <f>IF(C375="","",WEEKDAY(C375,1))</f>
        <v/>
      </c>
      <c r="E375" s="450" t="str">
        <f>IF($D375="","",IF(NOT(ISERROR(MATCH($C375,祝日テーブル,0)=TRUE)),IF($D375=1,"法定","法定外"),IF($D375=1,"法定",IF($D375=7,"法定外",""))))</f>
        <v/>
      </c>
      <c r="F375" s="453"/>
      <c r="G375" s="453"/>
      <c r="H375" s="470">
        <v>4.1666666666666664E-2</v>
      </c>
      <c r="I375" s="473"/>
      <c r="J375" s="473"/>
      <c r="K375" s="471"/>
      <c r="L375" s="32">
        <f t="shared" ref="L375" si="561">MOD(F375,100)+FLOOR(F375/100,1)*60</f>
        <v>0</v>
      </c>
      <c r="M375" s="32"/>
      <c r="N375" s="475"/>
      <c r="O375" s="33">
        <f t="shared" ref="O375" si="562">IF($I$3= "協力会社",M379,IF(L379&gt;=$L$12,$M$12,IF(L379&gt;0,M379,0)))</f>
        <v>0</v>
      </c>
      <c r="P375" s="33">
        <f t="shared" ref="P375" si="563">SUMIF(AB375:AB384,"1.00",AC375:AC384)+SUMIF(AB375:AB384,"振休取得",AC375:AC384)</f>
        <v>0</v>
      </c>
      <c r="Q375" s="34"/>
      <c r="R375" s="34"/>
      <c r="S375" s="34"/>
      <c r="T375" s="35"/>
      <c r="U375" s="462"/>
      <c r="V375" s="462"/>
      <c r="W375" s="36"/>
      <c r="X375" s="37"/>
      <c r="Y375" s="37"/>
      <c r="Z375" s="37"/>
      <c r="AA375" s="37"/>
      <c r="AB375" s="38"/>
      <c r="AC375" s="39"/>
      <c r="AD375" s="464"/>
      <c r="AE375" s="40"/>
      <c r="AF375" s="41"/>
      <c r="AG375" s="42"/>
      <c r="AH375" s="467"/>
      <c r="AI375" s="467"/>
      <c r="AJ375" s="73"/>
      <c r="AK375" s="1"/>
      <c r="AL375" s="437"/>
      <c r="AM375" s="437"/>
      <c r="AN375" s="437"/>
      <c r="AO375" s="437"/>
      <c r="AP375" s="437"/>
      <c r="AQ375" s="437"/>
      <c r="AR375" s="437"/>
      <c r="AS375" s="437"/>
      <c r="AT375" s="29"/>
      <c r="AU375" s="30"/>
      <c r="AV375" s="30"/>
      <c r="AW375" s="30"/>
      <c r="AX375" s="30"/>
    </row>
    <row r="376" spans="1:50" ht="11.25" customHeight="1">
      <c r="A376" s="1"/>
      <c r="B376" s="442"/>
      <c r="C376" s="445"/>
      <c r="D376" s="448"/>
      <c r="E376" s="451"/>
      <c r="F376" s="454"/>
      <c r="G376" s="454"/>
      <c r="H376" s="471"/>
      <c r="I376" s="473"/>
      <c r="J376" s="473"/>
      <c r="K376" s="471"/>
      <c r="L376" s="44">
        <f t="shared" ref="L376" si="564">MOD(G375,100)+FLOOR(G375/100,1)*60</f>
        <v>0</v>
      </c>
      <c r="M376" s="44"/>
      <c r="N376" s="476"/>
      <c r="O376" s="45"/>
      <c r="P376" s="46"/>
      <c r="Q376" s="47"/>
      <c r="R376" s="47"/>
      <c r="S376" s="47"/>
      <c r="T376" s="48"/>
      <c r="U376" s="462"/>
      <c r="V376" s="462"/>
      <c r="W376" s="36"/>
      <c r="X376" s="49"/>
      <c r="Y376" s="50"/>
      <c r="Z376" s="50"/>
      <c r="AA376" s="50"/>
      <c r="AB376" s="51"/>
      <c r="AC376" s="52"/>
      <c r="AD376" s="465"/>
      <c r="AE376" s="53"/>
      <c r="AF376" s="54"/>
      <c r="AG376" s="55"/>
      <c r="AH376" s="468"/>
      <c r="AI376" s="468"/>
      <c r="AJ376" s="55"/>
      <c r="AK376" s="1"/>
      <c r="AL376" s="438"/>
      <c r="AM376" s="438"/>
      <c r="AN376" s="438"/>
      <c r="AO376" s="438"/>
      <c r="AP376" s="438"/>
      <c r="AQ376" s="438"/>
      <c r="AR376" s="438"/>
      <c r="AS376" s="438"/>
      <c r="AT376" s="29"/>
      <c r="AU376" s="30"/>
      <c r="AV376" s="30"/>
      <c r="AW376" s="30"/>
      <c r="AX376" s="30"/>
    </row>
    <row r="377" spans="1:50" ht="11.25" customHeight="1">
      <c r="A377" s="1"/>
      <c r="B377" s="442"/>
      <c r="C377" s="445"/>
      <c r="D377" s="448"/>
      <c r="E377" s="451"/>
      <c r="F377" s="454"/>
      <c r="G377" s="454"/>
      <c r="H377" s="471"/>
      <c r="I377" s="473"/>
      <c r="J377" s="473"/>
      <c r="K377" s="471"/>
      <c r="L377" s="44">
        <f t="shared" ref="L377" si="565">L376-L375</f>
        <v>0</v>
      </c>
      <c r="M377" s="44"/>
      <c r="N377" s="476"/>
      <c r="O377" s="46"/>
      <c r="P377" s="45">
        <f t="shared" ref="P377" si="566">SUMIF(AB375:AB384,"有休",AC375:AC384)+SUMIF(AB375:AB384,"無給休",AC375:AC384)+SUMIF(AB375:AB384,"振休",AC375:AC384)+SUMIF(AB375:AB384,"特休",AC375:AC384)</f>
        <v>0</v>
      </c>
      <c r="Q377" s="47"/>
      <c r="R377" s="47"/>
      <c r="S377" s="47"/>
      <c r="T377" s="48"/>
      <c r="U377" s="462"/>
      <c r="V377" s="462"/>
      <c r="W377" s="36"/>
      <c r="X377" s="49"/>
      <c r="Y377" s="50"/>
      <c r="Z377" s="50"/>
      <c r="AA377" s="50"/>
      <c r="AB377" s="51"/>
      <c r="AC377" s="52"/>
      <c r="AD377" s="465"/>
      <c r="AE377" s="53"/>
      <c r="AF377" s="54"/>
      <c r="AG377" s="55"/>
      <c r="AH377" s="468"/>
      <c r="AI377" s="468"/>
      <c r="AJ377" s="54"/>
      <c r="AK377" s="1"/>
      <c r="AL377" s="438"/>
      <c r="AM377" s="438"/>
      <c r="AN377" s="438"/>
      <c r="AO377" s="438"/>
      <c r="AP377" s="438"/>
      <c r="AQ377" s="438"/>
      <c r="AR377" s="438"/>
      <c r="AS377" s="438"/>
      <c r="AT377" s="29"/>
      <c r="AU377" s="30"/>
      <c r="AV377" s="30"/>
      <c r="AW377" s="30"/>
      <c r="AX377" s="30"/>
    </row>
    <row r="378" spans="1:50" ht="11.25" customHeight="1">
      <c r="A378" s="1"/>
      <c r="B378" s="442"/>
      <c r="C378" s="445"/>
      <c r="D378" s="448"/>
      <c r="E378" s="451"/>
      <c r="F378" s="454"/>
      <c r="G378" s="454"/>
      <c r="H378" s="471"/>
      <c r="I378" s="473"/>
      <c r="J378" s="473"/>
      <c r="K378" s="471"/>
      <c r="L378" s="44">
        <f t="shared" ref="L378" si="567">ROUNDUP(L377/60,2)</f>
        <v>0</v>
      </c>
      <c r="M378" s="44"/>
      <c r="N378" s="476"/>
      <c r="O378" s="46"/>
      <c r="P378" s="46"/>
      <c r="Q378" s="47"/>
      <c r="R378" s="47"/>
      <c r="S378" s="47"/>
      <c r="T378" s="48"/>
      <c r="U378" s="462"/>
      <c r="V378" s="462"/>
      <c r="W378" s="36"/>
      <c r="X378" s="49"/>
      <c r="Y378" s="50"/>
      <c r="Z378" s="50"/>
      <c r="AA378" s="50"/>
      <c r="AB378" s="51"/>
      <c r="AC378" s="52"/>
      <c r="AD378" s="465"/>
      <c r="AE378" s="53"/>
      <c r="AF378" s="54"/>
      <c r="AG378" s="55"/>
      <c r="AH378" s="468"/>
      <c r="AI378" s="468"/>
      <c r="AJ378" s="55"/>
      <c r="AK378" s="1"/>
      <c r="AL378" s="438"/>
      <c r="AM378" s="438"/>
      <c r="AN378" s="438"/>
      <c r="AO378" s="438"/>
      <c r="AP378" s="438"/>
      <c r="AQ378" s="438"/>
      <c r="AR378" s="438"/>
      <c r="AS378" s="438"/>
      <c r="AT378" s="29"/>
      <c r="AU378" s="30"/>
      <c r="AV378" s="30"/>
      <c r="AW378" s="30"/>
      <c r="AX378" s="30"/>
    </row>
    <row r="379" spans="1:50" ht="11.25" customHeight="1">
      <c r="A379" s="1"/>
      <c r="B379" s="442"/>
      <c r="C379" s="445"/>
      <c r="D379" s="448"/>
      <c r="E379" s="451"/>
      <c r="F379" s="454"/>
      <c r="G379" s="454"/>
      <c r="H379" s="471"/>
      <c r="I379" s="473"/>
      <c r="J379" s="473"/>
      <c r="K379" s="471"/>
      <c r="L379" s="44">
        <f t="shared" ref="L379" si="568">IF(L378&gt;0,L378-HOUR(H375)-MINUTE(H375)/60,0)</f>
        <v>0</v>
      </c>
      <c r="M379" s="56">
        <f t="shared" ref="M379" si="569">TIME(L379-MOD(L379,1),MOD(L379,1)*60,0)</f>
        <v>0</v>
      </c>
      <c r="N379" s="476"/>
      <c r="O379" s="45">
        <f t="shared" ref="O379" si="570">M381</f>
        <v>0</v>
      </c>
      <c r="P379" s="45">
        <f t="shared" ref="P379" si="571">SUMIF(AB375:AB384,"1.25",AC375:AC384)+SUMIF(AB375:AB384,"他時間外",AC375:AC384)+SUMIF(AB375:AB384,"1.35",AC375:AC384)</f>
        <v>0</v>
      </c>
      <c r="Q379" s="47"/>
      <c r="R379" s="47"/>
      <c r="S379" s="47"/>
      <c r="T379" s="48"/>
      <c r="U379" s="462"/>
      <c r="V379" s="462"/>
      <c r="W379" s="36"/>
      <c r="X379" s="49"/>
      <c r="Y379" s="50"/>
      <c r="Z379" s="50"/>
      <c r="AA379" s="50"/>
      <c r="AB379" s="51"/>
      <c r="AC379" s="52"/>
      <c r="AD379" s="465"/>
      <c r="AE379" s="53"/>
      <c r="AF379" s="54"/>
      <c r="AG379" s="55"/>
      <c r="AH379" s="468"/>
      <c r="AI379" s="468"/>
      <c r="AJ379" s="55"/>
      <c r="AK379" s="1"/>
      <c r="AL379" s="438"/>
      <c r="AM379" s="438"/>
      <c r="AN379" s="438"/>
      <c r="AO379" s="438"/>
      <c r="AP379" s="438"/>
      <c r="AQ379" s="438"/>
      <c r="AR379" s="438"/>
      <c r="AS379" s="438"/>
      <c r="AT379" s="29"/>
      <c r="AU379" s="30"/>
      <c r="AV379" s="30"/>
      <c r="AW379" s="30"/>
      <c r="AX379" s="30"/>
    </row>
    <row r="380" spans="1:50" ht="11.25" customHeight="1">
      <c r="A380" s="1"/>
      <c r="B380" s="442"/>
      <c r="C380" s="445"/>
      <c r="D380" s="448"/>
      <c r="E380" s="451"/>
      <c r="F380" s="454"/>
      <c r="G380" s="454"/>
      <c r="H380" s="471"/>
      <c r="I380" s="473"/>
      <c r="J380" s="473"/>
      <c r="K380" s="471"/>
      <c r="L380" s="44">
        <f t="shared" ref="L380" si="572">L379-$L$12</f>
        <v>-7.75</v>
      </c>
      <c r="M380" s="44"/>
      <c r="N380" s="476"/>
      <c r="O380" s="46"/>
      <c r="P380" s="46"/>
      <c r="Q380" s="47"/>
      <c r="R380" s="47"/>
      <c r="S380" s="47"/>
      <c r="T380" s="48"/>
      <c r="U380" s="462"/>
      <c r="V380" s="462"/>
      <c r="W380" s="36"/>
      <c r="X380" s="49"/>
      <c r="Y380" s="50"/>
      <c r="Z380" s="50"/>
      <c r="AA380" s="50"/>
      <c r="AB380" s="51"/>
      <c r="AC380" s="52"/>
      <c r="AD380" s="465"/>
      <c r="AE380" s="53"/>
      <c r="AF380" s="54"/>
      <c r="AG380" s="55"/>
      <c r="AH380" s="468"/>
      <c r="AI380" s="468"/>
      <c r="AJ380" s="55"/>
      <c r="AK380" s="1"/>
      <c r="AL380" s="438"/>
      <c r="AM380" s="438"/>
      <c r="AN380" s="438"/>
      <c r="AO380" s="438"/>
      <c r="AP380" s="438"/>
      <c r="AQ380" s="438"/>
      <c r="AR380" s="438"/>
      <c r="AS380" s="438"/>
      <c r="AT380" s="29"/>
      <c r="AU380" s="30"/>
      <c r="AV380" s="30"/>
      <c r="AW380" s="30"/>
      <c r="AX380" s="30"/>
    </row>
    <row r="381" spans="1:50" ht="11.25" customHeight="1">
      <c r="A381" s="1"/>
      <c r="B381" s="442"/>
      <c r="C381" s="445"/>
      <c r="D381" s="448"/>
      <c r="E381" s="451"/>
      <c r="F381" s="454"/>
      <c r="G381" s="454"/>
      <c r="H381" s="471"/>
      <c r="I381" s="473"/>
      <c r="J381" s="473"/>
      <c r="K381" s="471"/>
      <c r="L381" s="44">
        <f t="shared" ref="L381" si="573">IF($I$3= "協力会社",0,IF(L380&gt;0,L380,0))</f>
        <v>0</v>
      </c>
      <c r="M381" s="56">
        <f t="shared" ref="M381" si="574">TIME(L381-MOD(L381,1),MOD(L381,1)*60,0)</f>
        <v>0</v>
      </c>
      <c r="N381" s="476"/>
      <c r="O381" s="46"/>
      <c r="P381" s="45">
        <f t="shared" ref="P381" si="575">SUMIF(AB375:AB384,"0.25深夜",AC375:AC384)</f>
        <v>0</v>
      </c>
      <c r="Q381" s="47"/>
      <c r="R381" s="47"/>
      <c r="S381" s="47"/>
      <c r="T381" s="48"/>
      <c r="U381" s="462"/>
      <c r="V381" s="462"/>
      <c r="W381" s="36"/>
      <c r="X381" s="49"/>
      <c r="Y381" s="50"/>
      <c r="Z381" s="50"/>
      <c r="AA381" s="50"/>
      <c r="AB381" s="51"/>
      <c r="AC381" s="52"/>
      <c r="AD381" s="465"/>
      <c r="AE381" s="53"/>
      <c r="AF381" s="54"/>
      <c r="AG381" s="55"/>
      <c r="AH381" s="468"/>
      <c r="AI381" s="468"/>
      <c r="AJ381" s="55"/>
      <c r="AK381" s="1"/>
      <c r="AL381" s="438"/>
      <c r="AM381" s="438"/>
      <c r="AN381" s="438"/>
      <c r="AO381" s="438"/>
      <c r="AP381" s="438"/>
      <c r="AQ381" s="438"/>
      <c r="AR381" s="438"/>
      <c r="AS381" s="438"/>
      <c r="AT381" s="29"/>
      <c r="AU381" s="30"/>
      <c r="AV381" s="30"/>
      <c r="AW381" s="30"/>
      <c r="AX381" s="30"/>
    </row>
    <row r="382" spans="1:50" ht="11.25" customHeight="1">
      <c r="A382" s="1"/>
      <c r="B382" s="442"/>
      <c r="C382" s="445"/>
      <c r="D382" s="448"/>
      <c r="E382" s="451"/>
      <c r="F382" s="454"/>
      <c r="G382" s="454"/>
      <c r="H382" s="471"/>
      <c r="I382" s="473"/>
      <c r="J382" s="473"/>
      <c r="K382" s="471"/>
      <c r="L382" s="44"/>
      <c r="M382" s="44"/>
      <c r="N382" s="476"/>
      <c r="O382" s="46"/>
      <c r="P382" s="46"/>
      <c r="Q382" s="47"/>
      <c r="R382" s="47"/>
      <c r="S382" s="47"/>
      <c r="T382" s="48"/>
      <c r="U382" s="462"/>
      <c r="V382" s="462"/>
      <c r="W382" s="36"/>
      <c r="X382" s="49"/>
      <c r="Y382" s="50"/>
      <c r="Z382" s="50"/>
      <c r="AA382" s="50"/>
      <c r="AB382" s="51"/>
      <c r="AC382" s="52"/>
      <c r="AD382" s="465"/>
      <c r="AE382" s="53"/>
      <c r="AF382" s="54"/>
      <c r="AG382" s="55"/>
      <c r="AH382" s="468"/>
      <c r="AI382" s="468"/>
      <c r="AJ382" s="55"/>
      <c r="AK382" s="1"/>
      <c r="AL382" s="438"/>
      <c r="AM382" s="438"/>
      <c r="AN382" s="438"/>
      <c r="AO382" s="438"/>
      <c r="AP382" s="438"/>
      <c r="AQ382" s="438"/>
      <c r="AR382" s="438"/>
      <c r="AS382" s="438"/>
      <c r="AT382" s="29"/>
      <c r="AU382" s="30"/>
      <c r="AV382" s="30"/>
      <c r="AW382" s="30"/>
      <c r="AX382" s="30"/>
    </row>
    <row r="383" spans="1:50" ht="11.25" customHeight="1">
      <c r="A383" s="1"/>
      <c r="B383" s="442"/>
      <c r="C383" s="445"/>
      <c r="D383" s="448"/>
      <c r="E383" s="451"/>
      <c r="F383" s="454"/>
      <c r="G383" s="454"/>
      <c r="H383" s="471"/>
      <c r="I383" s="473"/>
      <c r="J383" s="473"/>
      <c r="K383" s="471"/>
      <c r="L383" s="44"/>
      <c r="M383" s="44"/>
      <c r="N383" s="478"/>
      <c r="O383" s="57">
        <f t="shared" ref="O383" si="576">O375+O379</f>
        <v>0</v>
      </c>
      <c r="P383" s="57">
        <f t="shared" ref="P383" si="577">SUM(P375:P379)</f>
        <v>0</v>
      </c>
      <c r="Q383" s="47"/>
      <c r="R383" s="47"/>
      <c r="S383" s="47"/>
      <c r="T383" s="48"/>
      <c r="U383" s="462"/>
      <c r="V383" s="462"/>
      <c r="W383" s="36"/>
      <c r="X383" s="49"/>
      <c r="Y383" s="49"/>
      <c r="Z383" s="49"/>
      <c r="AA383" s="49"/>
      <c r="AB383" s="51"/>
      <c r="AC383" s="52"/>
      <c r="AD383" s="465"/>
      <c r="AE383" s="53"/>
      <c r="AF383" s="59"/>
      <c r="AG383" s="60"/>
      <c r="AH383" s="468"/>
      <c r="AI383" s="468"/>
      <c r="AJ383" s="55"/>
      <c r="AK383" s="1"/>
      <c r="AL383" s="438"/>
      <c r="AM383" s="438"/>
      <c r="AN383" s="438"/>
      <c r="AO383" s="438"/>
      <c r="AP383" s="438"/>
      <c r="AQ383" s="438"/>
      <c r="AR383" s="438"/>
      <c r="AS383" s="438"/>
      <c r="AT383" s="29"/>
      <c r="AU383" s="30"/>
      <c r="AV383" s="30"/>
      <c r="AW383" s="30"/>
      <c r="AX383" s="30"/>
    </row>
    <row r="384" spans="1:50" ht="11.25" customHeight="1">
      <c r="A384" s="1"/>
      <c r="B384" s="443"/>
      <c r="C384" s="446"/>
      <c r="D384" s="449"/>
      <c r="E384" s="452"/>
      <c r="F384" s="455"/>
      <c r="G384" s="455"/>
      <c r="H384" s="472"/>
      <c r="I384" s="474"/>
      <c r="J384" s="474"/>
      <c r="K384" s="472"/>
      <c r="L384" s="61"/>
      <c r="M384" s="61"/>
      <c r="N384" s="477"/>
      <c r="O384" s="62"/>
      <c r="P384" s="62"/>
      <c r="Q384" s="63"/>
      <c r="R384" s="63"/>
      <c r="S384" s="63"/>
      <c r="T384" s="64"/>
      <c r="U384" s="463"/>
      <c r="V384" s="463"/>
      <c r="W384" s="65"/>
      <c r="X384" s="66"/>
      <c r="Y384" s="67"/>
      <c r="Z384" s="67"/>
      <c r="AA384" s="67"/>
      <c r="AB384" s="68"/>
      <c r="AC384" s="69"/>
      <c r="AD384" s="466"/>
      <c r="AE384" s="70"/>
      <c r="AF384" s="71"/>
      <c r="AG384" s="72"/>
      <c r="AH384" s="469"/>
      <c r="AI384" s="469"/>
      <c r="AJ384" s="72"/>
      <c r="AK384" s="1"/>
      <c r="AL384" s="439"/>
      <c r="AM384" s="439"/>
      <c r="AN384" s="439"/>
      <c r="AO384" s="439"/>
      <c r="AP384" s="439"/>
      <c r="AQ384" s="439"/>
      <c r="AR384" s="439"/>
      <c r="AS384" s="439"/>
      <c r="AT384" s="29"/>
      <c r="AU384" s="30"/>
      <c r="AV384" s="30"/>
      <c r="AW384" s="30"/>
      <c r="AX384" s="30"/>
    </row>
    <row r="385" spans="1:50">
      <c r="A385" s="1"/>
      <c r="B385" s="441" t="str">
        <f>IF(B375="","",IF(B375+1&gt;$AB$3,"",B375+1))</f>
        <v/>
      </c>
      <c r="C385" s="444" t="str">
        <f>IF(C375="","",IF(C375+1&gt;$AB$3,"",C375+1))</f>
        <v/>
      </c>
      <c r="D385" s="447" t="str">
        <f>IF(C385="","",WEEKDAY(C385,1))</f>
        <v/>
      </c>
      <c r="E385" s="450" t="str">
        <f>IF($D385="","",IF(NOT(ISERROR(MATCH($C385,祝日テーブル,0)=TRUE)),IF($D385=1,"法定","法定外"),IF($D385=1,"法定",IF($D385=7,"法定外",""))))</f>
        <v/>
      </c>
      <c r="F385" s="453"/>
      <c r="G385" s="453"/>
      <c r="H385" s="470">
        <v>4.1666666666666664E-2</v>
      </c>
      <c r="I385" s="473"/>
      <c r="J385" s="473"/>
      <c r="K385" s="471"/>
      <c r="L385" s="32">
        <f t="shared" ref="L385" si="578">MOD(F385,100)+FLOOR(F385/100,1)*60</f>
        <v>0</v>
      </c>
      <c r="M385" s="32"/>
      <c r="N385" s="475"/>
      <c r="O385" s="33">
        <f t="shared" ref="O385" si="579">IF($I$3= "協力会社",M389,IF(L389&gt;=$L$12,$M$12,IF(L389&gt;0,M389,0)))</f>
        <v>0</v>
      </c>
      <c r="P385" s="33">
        <f t="shared" ref="P385" si="580">SUMIF(AB385:AB394,"1.00",AC385:AC394)+SUMIF(AB385:AB394,"振休取得",AC385:AC394)</f>
        <v>0</v>
      </c>
      <c r="Q385" s="34"/>
      <c r="R385" s="34"/>
      <c r="S385" s="34"/>
      <c r="T385" s="35"/>
      <c r="U385" s="462"/>
      <c r="V385" s="462"/>
      <c r="W385" s="36"/>
      <c r="X385" s="37"/>
      <c r="Y385" s="37"/>
      <c r="Z385" s="37"/>
      <c r="AA385" s="37"/>
      <c r="AB385" s="38"/>
      <c r="AC385" s="39"/>
      <c r="AD385" s="464"/>
      <c r="AE385" s="40"/>
      <c r="AF385" s="41"/>
      <c r="AG385" s="42"/>
      <c r="AH385" s="467"/>
      <c r="AI385" s="467"/>
      <c r="AJ385" s="73"/>
      <c r="AK385" s="1"/>
      <c r="AL385" s="437"/>
      <c r="AM385" s="437"/>
      <c r="AN385" s="437"/>
      <c r="AO385" s="437"/>
      <c r="AP385" s="437"/>
      <c r="AQ385" s="437"/>
      <c r="AR385" s="437"/>
      <c r="AS385" s="437"/>
      <c r="AT385" s="29"/>
      <c r="AU385" s="30"/>
      <c r="AV385" s="30"/>
      <c r="AW385" s="30"/>
      <c r="AX385" s="30"/>
    </row>
    <row r="386" spans="1:50" ht="11.25" customHeight="1">
      <c r="A386" s="1"/>
      <c r="B386" s="442"/>
      <c r="C386" s="445"/>
      <c r="D386" s="448"/>
      <c r="E386" s="451"/>
      <c r="F386" s="454"/>
      <c r="G386" s="454"/>
      <c r="H386" s="471"/>
      <c r="I386" s="473"/>
      <c r="J386" s="473"/>
      <c r="K386" s="471"/>
      <c r="L386" s="44">
        <f t="shared" ref="L386" si="581">MOD(G385,100)+FLOOR(G385/100,1)*60</f>
        <v>0</v>
      </c>
      <c r="M386" s="44"/>
      <c r="N386" s="476"/>
      <c r="O386" s="45"/>
      <c r="P386" s="46"/>
      <c r="Q386" s="47"/>
      <c r="R386" s="47"/>
      <c r="S386" s="47"/>
      <c r="T386" s="48"/>
      <c r="U386" s="462"/>
      <c r="V386" s="462"/>
      <c r="W386" s="36"/>
      <c r="X386" s="49"/>
      <c r="Y386" s="50"/>
      <c r="Z386" s="50"/>
      <c r="AA386" s="50"/>
      <c r="AB386" s="51"/>
      <c r="AC386" s="52"/>
      <c r="AD386" s="465"/>
      <c r="AE386" s="53"/>
      <c r="AF386" s="54"/>
      <c r="AG386" s="55"/>
      <c r="AH386" s="468"/>
      <c r="AI386" s="468"/>
      <c r="AJ386" s="55"/>
      <c r="AK386" s="1"/>
      <c r="AL386" s="438"/>
      <c r="AM386" s="438"/>
      <c r="AN386" s="438"/>
      <c r="AO386" s="438"/>
      <c r="AP386" s="438"/>
      <c r="AQ386" s="438"/>
      <c r="AR386" s="438"/>
      <c r="AS386" s="438"/>
      <c r="AT386" s="29"/>
      <c r="AU386" s="30"/>
      <c r="AV386" s="30"/>
      <c r="AW386" s="30"/>
      <c r="AX386" s="30"/>
    </row>
    <row r="387" spans="1:50" ht="11.25" customHeight="1">
      <c r="A387" s="1"/>
      <c r="B387" s="442"/>
      <c r="C387" s="445"/>
      <c r="D387" s="448"/>
      <c r="E387" s="451"/>
      <c r="F387" s="454"/>
      <c r="G387" s="454"/>
      <c r="H387" s="471"/>
      <c r="I387" s="473"/>
      <c r="J387" s="473"/>
      <c r="K387" s="471"/>
      <c r="L387" s="44">
        <f t="shared" ref="L387" si="582">L386-L385</f>
        <v>0</v>
      </c>
      <c r="M387" s="44"/>
      <c r="N387" s="476"/>
      <c r="O387" s="46"/>
      <c r="P387" s="45">
        <f t="shared" ref="P387" si="583">SUMIF(AB385:AB394,"有休",AC385:AC394)+SUMIF(AB385:AB394,"無給休",AC385:AC394)+SUMIF(AB385:AB394,"振休",AC385:AC394)+SUMIF(AB385:AB394,"特休",AC385:AC394)</f>
        <v>0</v>
      </c>
      <c r="Q387" s="47"/>
      <c r="R387" s="47"/>
      <c r="S387" s="47"/>
      <c r="T387" s="48"/>
      <c r="U387" s="462"/>
      <c r="V387" s="462"/>
      <c r="W387" s="36"/>
      <c r="X387" s="49"/>
      <c r="Y387" s="50"/>
      <c r="Z387" s="50"/>
      <c r="AA387" s="50"/>
      <c r="AB387" s="51"/>
      <c r="AC387" s="52"/>
      <c r="AD387" s="465"/>
      <c r="AE387" s="53"/>
      <c r="AF387" s="54"/>
      <c r="AG387" s="55"/>
      <c r="AH387" s="468"/>
      <c r="AI387" s="468"/>
      <c r="AJ387" s="54"/>
      <c r="AK387" s="1"/>
      <c r="AL387" s="438"/>
      <c r="AM387" s="438"/>
      <c r="AN387" s="438"/>
      <c r="AO387" s="438"/>
      <c r="AP387" s="438"/>
      <c r="AQ387" s="438"/>
      <c r="AR387" s="438"/>
      <c r="AS387" s="438"/>
      <c r="AT387" s="29"/>
      <c r="AU387" s="30"/>
      <c r="AV387" s="30"/>
      <c r="AW387" s="30"/>
      <c r="AX387" s="30"/>
    </row>
    <row r="388" spans="1:50" ht="11.25" customHeight="1">
      <c r="A388" s="1"/>
      <c r="B388" s="442"/>
      <c r="C388" s="445"/>
      <c r="D388" s="448"/>
      <c r="E388" s="451"/>
      <c r="F388" s="454"/>
      <c r="G388" s="454"/>
      <c r="H388" s="471"/>
      <c r="I388" s="473"/>
      <c r="J388" s="473"/>
      <c r="K388" s="471"/>
      <c r="L388" s="44">
        <f t="shared" ref="L388" si="584">ROUNDUP(L387/60,2)</f>
        <v>0</v>
      </c>
      <c r="M388" s="44"/>
      <c r="N388" s="476"/>
      <c r="O388" s="46"/>
      <c r="P388" s="46"/>
      <c r="Q388" s="47"/>
      <c r="R388" s="47"/>
      <c r="S388" s="47"/>
      <c r="T388" s="48"/>
      <c r="U388" s="462"/>
      <c r="V388" s="462"/>
      <c r="W388" s="36"/>
      <c r="X388" s="49"/>
      <c r="Y388" s="50"/>
      <c r="Z388" s="50"/>
      <c r="AA388" s="50"/>
      <c r="AB388" s="51"/>
      <c r="AC388" s="52"/>
      <c r="AD388" s="465"/>
      <c r="AE388" s="53"/>
      <c r="AF388" s="54"/>
      <c r="AG388" s="55"/>
      <c r="AH388" s="468"/>
      <c r="AI388" s="468"/>
      <c r="AJ388" s="55"/>
      <c r="AK388" s="1"/>
      <c r="AL388" s="438"/>
      <c r="AM388" s="438"/>
      <c r="AN388" s="438"/>
      <c r="AO388" s="438"/>
      <c r="AP388" s="438"/>
      <c r="AQ388" s="438"/>
      <c r="AR388" s="438"/>
      <c r="AS388" s="438"/>
      <c r="AT388" s="29"/>
      <c r="AU388" s="30"/>
      <c r="AV388" s="30"/>
      <c r="AW388" s="30"/>
      <c r="AX388" s="30"/>
    </row>
    <row r="389" spans="1:50" ht="11.25" customHeight="1">
      <c r="A389" s="1"/>
      <c r="B389" s="442"/>
      <c r="C389" s="445"/>
      <c r="D389" s="448"/>
      <c r="E389" s="451"/>
      <c r="F389" s="454"/>
      <c r="G389" s="454"/>
      <c r="H389" s="471"/>
      <c r="I389" s="473"/>
      <c r="J389" s="473"/>
      <c r="K389" s="471"/>
      <c r="L389" s="44">
        <f t="shared" ref="L389" si="585">IF(L388&gt;0,L388-HOUR(H385)-MINUTE(H385)/60,0)</f>
        <v>0</v>
      </c>
      <c r="M389" s="56">
        <f t="shared" ref="M389" si="586">TIME(L389-MOD(L389,1),MOD(L389,1)*60,0)</f>
        <v>0</v>
      </c>
      <c r="N389" s="476"/>
      <c r="O389" s="45">
        <f t="shared" ref="O389" si="587">M391</f>
        <v>0</v>
      </c>
      <c r="P389" s="45">
        <f t="shared" ref="P389" si="588">SUMIF(AB385:AB394,"1.25",AC385:AC394)+SUMIF(AB385:AB394,"他時間外",AC385:AC394)+SUMIF(AB385:AB394,"1.35",AC385:AC394)</f>
        <v>0</v>
      </c>
      <c r="Q389" s="47"/>
      <c r="R389" s="47"/>
      <c r="S389" s="47"/>
      <c r="T389" s="48"/>
      <c r="U389" s="462"/>
      <c r="V389" s="462"/>
      <c r="W389" s="36"/>
      <c r="X389" s="49"/>
      <c r="Y389" s="50"/>
      <c r="Z389" s="50"/>
      <c r="AA389" s="50"/>
      <c r="AB389" s="51"/>
      <c r="AC389" s="52"/>
      <c r="AD389" s="465"/>
      <c r="AE389" s="53"/>
      <c r="AF389" s="54"/>
      <c r="AG389" s="55"/>
      <c r="AH389" s="468"/>
      <c r="AI389" s="468"/>
      <c r="AJ389" s="55"/>
      <c r="AK389" s="1"/>
      <c r="AL389" s="438"/>
      <c r="AM389" s="438"/>
      <c r="AN389" s="438"/>
      <c r="AO389" s="438"/>
      <c r="AP389" s="438"/>
      <c r="AQ389" s="438"/>
      <c r="AR389" s="438"/>
      <c r="AS389" s="438"/>
      <c r="AT389" s="29"/>
      <c r="AU389" s="30"/>
      <c r="AV389" s="30"/>
      <c r="AW389" s="30"/>
      <c r="AX389" s="30"/>
    </row>
    <row r="390" spans="1:50" ht="11.25" customHeight="1">
      <c r="A390" s="1"/>
      <c r="B390" s="442"/>
      <c r="C390" s="445"/>
      <c r="D390" s="448"/>
      <c r="E390" s="451"/>
      <c r="F390" s="454"/>
      <c r="G390" s="454"/>
      <c r="H390" s="471"/>
      <c r="I390" s="473"/>
      <c r="J390" s="473"/>
      <c r="K390" s="471"/>
      <c r="L390" s="44">
        <f t="shared" ref="L390" si="589">L389-$L$12</f>
        <v>-7.75</v>
      </c>
      <c r="M390" s="44"/>
      <c r="N390" s="476"/>
      <c r="O390" s="46"/>
      <c r="P390" s="46"/>
      <c r="Q390" s="47"/>
      <c r="R390" s="47"/>
      <c r="S390" s="47"/>
      <c r="T390" s="48"/>
      <c r="U390" s="462"/>
      <c r="V390" s="462"/>
      <c r="W390" s="36"/>
      <c r="X390" s="49"/>
      <c r="Y390" s="50"/>
      <c r="Z390" s="50"/>
      <c r="AA390" s="50"/>
      <c r="AB390" s="51"/>
      <c r="AC390" s="52"/>
      <c r="AD390" s="465"/>
      <c r="AE390" s="53"/>
      <c r="AF390" s="54"/>
      <c r="AG390" s="55"/>
      <c r="AH390" s="468"/>
      <c r="AI390" s="468"/>
      <c r="AJ390" s="55"/>
      <c r="AK390" s="1"/>
      <c r="AL390" s="438"/>
      <c r="AM390" s="438"/>
      <c r="AN390" s="438"/>
      <c r="AO390" s="438"/>
      <c r="AP390" s="438"/>
      <c r="AQ390" s="438"/>
      <c r="AR390" s="438"/>
      <c r="AS390" s="438"/>
      <c r="AT390" s="29"/>
      <c r="AU390" s="30"/>
      <c r="AV390" s="30"/>
      <c r="AW390" s="30"/>
      <c r="AX390" s="30"/>
    </row>
    <row r="391" spans="1:50" ht="11.25" customHeight="1">
      <c r="A391" s="1"/>
      <c r="B391" s="442"/>
      <c r="C391" s="445"/>
      <c r="D391" s="448"/>
      <c r="E391" s="451"/>
      <c r="F391" s="454"/>
      <c r="G391" s="454"/>
      <c r="H391" s="471"/>
      <c r="I391" s="473"/>
      <c r="J391" s="473"/>
      <c r="K391" s="471"/>
      <c r="L391" s="44">
        <f t="shared" ref="L391" si="590">IF($I$3= "協力会社",0,IF(L390&gt;0,L390,0))</f>
        <v>0</v>
      </c>
      <c r="M391" s="56">
        <f t="shared" ref="M391" si="591">TIME(L391-MOD(L391,1),MOD(L391,1)*60,0)</f>
        <v>0</v>
      </c>
      <c r="N391" s="476"/>
      <c r="O391" s="46"/>
      <c r="P391" s="45">
        <f t="shared" ref="P391" si="592">SUMIF(AB385:AB394,"0.25深夜",AC385:AC394)</f>
        <v>0</v>
      </c>
      <c r="Q391" s="47"/>
      <c r="R391" s="47"/>
      <c r="S391" s="47"/>
      <c r="T391" s="48"/>
      <c r="U391" s="462"/>
      <c r="V391" s="462"/>
      <c r="W391" s="36"/>
      <c r="X391" s="49"/>
      <c r="Y391" s="50"/>
      <c r="Z391" s="50"/>
      <c r="AA391" s="50"/>
      <c r="AB391" s="51"/>
      <c r="AC391" s="52"/>
      <c r="AD391" s="465"/>
      <c r="AE391" s="53"/>
      <c r="AF391" s="54"/>
      <c r="AG391" s="55"/>
      <c r="AH391" s="468"/>
      <c r="AI391" s="468"/>
      <c r="AJ391" s="55"/>
      <c r="AK391" s="1"/>
      <c r="AL391" s="438"/>
      <c r="AM391" s="438"/>
      <c r="AN391" s="438"/>
      <c r="AO391" s="438"/>
      <c r="AP391" s="438"/>
      <c r="AQ391" s="438"/>
      <c r="AR391" s="438"/>
      <c r="AS391" s="438"/>
      <c r="AT391" s="29"/>
      <c r="AU391" s="30"/>
      <c r="AV391" s="30"/>
      <c r="AW391" s="30"/>
      <c r="AX391" s="30"/>
    </row>
    <row r="392" spans="1:50" ht="11.25" customHeight="1">
      <c r="A392" s="1"/>
      <c r="B392" s="442"/>
      <c r="C392" s="445"/>
      <c r="D392" s="448"/>
      <c r="E392" s="451"/>
      <c r="F392" s="454"/>
      <c r="G392" s="454"/>
      <c r="H392" s="471"/>
      <c r="I392" s="473"/>
      <c r="J392" s="473"/>
      <c r="K392" s="471"/>
      <c r="L392" s="44"/>
      <c r="M392" s="44"/>
      <c r="N392" s="476"/>
      <c r="O392" s="46"/>
      <c r="P392" s="46"/>
      <c r="Q392" s="47"/>
      <c r="R392" s="47"/>
      <c r="S392" s="47"/>
      <c r="T392" s="48"/>
      <c r="U392" s="462"/>
      <c r="V392" s="462"/>
      <c r="W392" s="36"/>
      <c r="X392" s="49"/>
      <c r="Y392" s="50"/>
      <c r="Z392" s="50"/>
      <c r="AA392" s="50"/>
      <c r="AB392" s="51"/>
      <c r="AC392" s="52"/>
      <c r="AD392" s="465"/>
      <c r="AE392" s="53"/>
      <c r="AF392" s="54"/>
      <c r="AG392" s="55"/>
      <c r="AH392" s="468"/>
      <c r="AI392" s="468"/>
      <c r="AJ392" s="55"/>
      <c r="AK392" s="1"/>
      <c r="AL392" s="438"/>
      <c r="AM392" s="438"/>
      <c r="AN392" s="438"/>
      <c r="AO392" s="438"/>
      <c r="AP392" s="438"/>
      <c r="AQ392" s="438"/>
      <c r="AR392" s="438"/>
      <c r="AS392" s="438"/>
      <c r="AT392" s="29"/>
      <c r="AU392" s="30"/>
      <c r="AV392" s="30"/>
      <c r="AW392" s="30"/>
      <c r="AX392" s="30"/>
    </row>
    <row r="393" spans="1:50" ht="11.25" customHeight="1">
      <c r="A393" s="1"/>
      <c r="B393" s="442"/>
      <c r="C393" s="445"/>
      <c r="D393" s="448"/>
      <c r="E393" s="451"/>
      <c r="F393" s="454"/>
      <c r="G393" s="454"/>
      <c r="H393" s="471"/>
      <c r="I393" s="473"/>
      <c r="J393" s="473"/>
      <c r="K393" s="471"/>
      <c r="L393" s="44"/>
      <c r="M393" s="44"/>
      <c r="N393" s="478"/>
      <c r="O393" s="57">
        <f t="shared" ref="O393" si="593">O385+O389</f>
        <v>0</v>
      </c>
      <c r="P393" s="57">
        <f t="shared" ref="P393" si="594">SUM(P385:P389)</f>
        <v>0</v>
      </c>
      <c r="Q393" s="47"/>
      <c r="R393" s="47"/>
      <c r="S393" s="47"/>
      <c r="T393" s="48"/>
      <c r="U393" s="462"/>
      <c r="V393" s="462"/>
      <c r="W393" s="36"/>
      <c r="X393" s="49"/>
      <c r="Y393" s="49"/>
      <c r="Z393" s="49"/>
      <c r="AA393" s="49"/>
      <c r="AB393" s="51"/>
      <c r="AC393" s="52"/>
      <c r="AD393" s="465"/>
      <c r="AE393" s="53"/>
      <c r="AF393" s="59"/>
      <c r="AG393" s="60"/>
      <c r="AH393" s="468"/>
      <c r="AI393" s="468"/>
      <c r="AJ393" s="55"/>
      <c r="AK393" s="1"/>
      <c r="AL393" s="438"/>
      <c r="AM393" s="438"/>
      <c r="AN393" s="438"/>
      <c r="AO393" s="438"/>
      <c r="AP393" s="438"/>
      <c r="AQ393" s="438"/>
      <c r="AR393" s="438"/>
      <c r="AS393" s="438"/>
      <c r="AT393" s="29"/>
      <c r="AU393" s="30"/>
      <c r="AV393" s="30"/>
      <c r="AW393" s="30"/>
      <c r="AX393" s="30"/>
    </row>
    <row r="394" spans="1:50" ht="11.25" customHeight="1">
      <c r="A394" s="1"/>
      <c r="B394" s="443"/>
      <c r="C394" s="446"/>
      <c r="D394" s="449"/>
      <c r="E394" s="452"/>
      <c r="F394" s="455"/>
      <c r="G394" s="455"/>
      <c r="H394" s="472"/>
      <c r="I394" s="474"/>
      <c r="J394" s="474"/>
      <c r="K394" s="472"/>
      <c r="L394" s="61"/>
      <c r="M394" s="61"/>
      <c r="N394" s="477"/>
      <c r="O394" s="62"/>
      <c r="P394" s="62"/>
      <c r="Q394" s="63"/>
      <c r="R394" s="63"/>
      <c r="S394" s="63"/>
      <c r="T394" s="64"/>
      <c r="U394" s="463"/>
      <c r="V394" s="463"/>
      <c r="W394" s="65"/>
      <c r="X394" s="66"/>
      <c r="Y394" s="67"/>
      <c r="Z394" s="67"/>
      <c r="AA394" s="67"/>
      <c r="AB394" s="68"/>
      <c r="AC394" s="69"/>
      <c r="AD394" s="466"/>
      <c r="AE394" s="70"/>
      <c r="AF394" s="71"/>
      <c r="AG394" s="72"/>
      <c r="AH394" s="469"/>
      <c r="AI394" s="469"/>
      <c r="AJ394" s="72"/>
      <c r="AK394" s="1"/>
      <c r="AL394" s="439"/>
      <c r="AM394" s="439"/>
      <c r="AN394" s="439"/>
      <c r="AO394" s="439"/>
      <c r="AP394" s="439"/>
      <c r="AQ394" s="439"/>
      <c r="AR394" s="439"/>
      <c r="AS394" s="439"/>
      <c r="AT394" s="29"/>
      <c r="AU394" s="30"/>
      <c r="AV394" s="30"/>
      <c r="AW394" s="30"/>
      <c r="AX394" s="30"/>
    </row>
    <row r="395" spans="1:50">
      <c r="A395" s="1"/>
      <c r="B395" s="441" t="str">
        <f>IF(B385="","",IF(B385+1&gt;$AB$3,"",B385+1))</f>
        <v/>
      </c>
      <c r="C395" s="444" t="str">
        <f>IF(C385="","",IF(C385+1&gt;$AB$3,"",C385+1))</f>
        <v/>
      </c>
      <c r="D395" s="447" t="str">
        <f>IF(C395="","",WEEKDAY(C395,1))</f>
        <v/>
      </c>
      <c r="E395" s="450" t="str">
        <f>IF($D395="","",IF(NOT(ISERROR(MATCH($C395,祝日テーブル,0)=TRUE)),IF($D395=1,"法定","法定外"),IF($D395=1,"法定",IF($D395=7,"法定外",""))))</f>
        <v/>
      </c>
      <c r="F395" s="453"/>
      <c r="G395" s="453"/>
      <c r="H395" s="470">
        <v>4.1666666666666664E-2</v>
      </c>
      <c r="I395" s="473"/>
      <c r="J395" s="473"/>
      <c r="K395" s="471"/>
      <c r="L395" s="32">
        <f t="shared" ref="L395" si="595">MOD(F395,100)+FLOOR(F395/100,1)*60</f>
        <v>0</v>
      </c>
      <c r="M395" s="32"/>
      <c r="N395" s="475"/>
      <c r="O395" s="33">
        <f t="shared" ref="O395" si="596">IF($I$3= "協力会社",M399,IF(L399&gt;=$L$12,$M$12,IF(L399&gt;0,M399,0)))</f>
        <v>0</v>
      </c>
      <c r="P395" s="33">
        <f t="shared" ref="P395" si="597">SUMIF(AB395:AB404,"1.00",AC395:AC404)+SUMIF(AB395:AB404,"振休取得",AC395:AC404)</f>
        <v>0</v>
      </c>
      <c r="Q395" s="34"/>
      <c r="R395" s="34"/>
      <c r="S395" s="34"/>
      <c r="T395" s="35"/>
      <c r="U395" s="462"/>
      <c r="V395" s="462"/>
      <c r="W395" s="36"/>
      <c r="X395" s="37"/>
      <c r="Y395" s="37"/>
      <c r="Z395" s="37"/>
      <c r="AA395" s="37"/>
      <c r="AB395" s="38"/>
      <c r="AC395" s="39"/>
      <c r="AD395" s="464"/>
      <c r="AE395" s="40"/>
      <c r="AF395" s="41"/>
      <c r="AG395" s="42"/>
      <c r="AH395" s="467"/>
      <c r="AI395" s="467"/>
      <c r="AJ395" s="73"/>
      <c r="AK395" s="1"/>
      <c r="AL395" s="437"/>
      <c r="AM395" s="437"/>
      <c r="AN395" s="437"/>
      <c r="AO395" s="437"/>
      <c r="AP395" s="437"/>
      <c r="AQ395" s="437"/>
      <c r="AR395" s="437"/>
      <c r="AS395" s="437"/>
      <c r="AT395" s="29"/>
      <c r="AU395" s="30"/>
      <c r="AV395" s="30"/>
      <c r="AW395" s="30"/>
      <c r="AX395" s="30"/>
    </row>
    <row r="396" spans="1:50" ht="11.25" customHeight="1">
      <c r="A396" s="1"/>
      <c r="B396" s="442"/>
      <c r="C396" s="445"/>
      <c r="D396" s="448"/>
      <c r="E396" s="451"/>
      <c r="F396" s="454"/>
      <c r="G396" s="454"/>
      <c r="H396" s="471"/>
      <c r="I396" s="473"/>
      <c r="J396" s="473"/>
      <c r="K396" s="471"/>
      <c r="L396" s="44">
        <f t="shared" ref="L396" si="598">MOD(G395,100)+FLOOR(G395/100,1)*60</f>
        <v>0</v>
      </c>
      <c r="M396" s="44"/>
      <c r="N396" s="476"/>
      <c r="O396" s="45"/>
      <c r="P396" s="46"/>
      <c r="Q396" s="47"/>
      <c r="R396" s="47"/>
      <c r="S396" s="47"/>
      <c r="T396" s="48"/>
      <c r="U396" s="462"/>
      <c r="V396" s="462"/>
      <c r="W396" s="36"/>
      <c r="X396" s="49"/>
      <c r="Y396" s="50"/>
      <c r="Z396" s="50"/>
      <c r="AA396" s="50"/>
      <c r="AB396" s="51"/>
      <c r="AC396" s="52"/>
      <c r="AD396" s="465"/>
      <c r="AE396" s="53"/>
      <c r="AF396" s="54"/>
      <c r="AG396" s="55"/>
      <c r="AH396" s="468"/>
      <c r="AI396" s="468"/>
      <c r="AJ396" s="55"/>
      <c r="AK396" s="1"/>
      <c r="AL396" s="438"/>
      <c r="AM396" s="438"/>
      <c r="AN396" s="438"/>
      <c r="AO396" s="438"/>
      <c r="AP396" s="438"/>
      <c r="AQ396" s="438"/>
      <c r="AR396" s="438"/>
      <c r="AS396" s="438"/>
      <c r="AT396" s="29"/>
      <c r="AU396" s="30"/>
      <c r="AV396" s="30"/>
      <c r="AW396" s="30"/>
      <c r="AX396" s="30"/>
    </row>
    <row r="397" spans="1:50" ht="11.25" customHeight="1">
      <c r="A397" s="1"/>
      <c r="B397" s="442"/>
      <c r="C397" s="445"/>
      <c r="D397" s="448"/>
      <c r="E397" s="451"/>
      <c r="F397" s="454"/>
      <c r="G397" s="454"/>
      <c r="H397" s="471"/>
      <c r="I397" s="473"/>
      <c r="J397" s="473"/>
      <c r="K397" s="471"/>
      <c r="L397" s="44">
        <f t="shared" ref="L397" si="599">L396-L395</f>
        <v>0</v>
      </c>
      <c r="M397" s="44"/>
      <c r="N397" s="476"/>
      <c r="O397" s="46"/>
      <c r="P397" s="45">
        <f t="shared" ref="P397" si="600">SUMIF(AB395:AB404,"有休",AC395:AC404)+SUMIF(AB395:AB404,"無給休",AC395:AC404)+SUMIF(AB395:AB404,"振休",AC395:AC404)+SUMIF(AB395:AB404,"特休",AC395:AC404)</f>
        <v>0</v>
      </c>
      <c r="Q397" s="47"/>
      <c r="R397" s="47"/>
      <c r="S397" s="47"/>
      <c r="T397" s="48"/>
      <c r="U397" s="462"/>
      <c r="V397" s="462"/>
      <c r="W397" s="36"/>
      <c r="X397" s="49"/>
      <c r="Y397" s="50"/>
      <c r="Z397" s="50"/>
      <c r="AA397" s="50"/>
      <c r="AB397" s="51"/>
      <c r="AC397" s="52"/>
      <c r="AD397" s="465"/>
      <c r="AE397" s="53"/>
      <c r="AF397" s="54"/>
      <c r="AG397" s="55"/>
      <c r="AH397" s="468"/>
      <c r="AI397" s="468"/>
      <c r="AJ397" s="54"/>
      <c r="AK397" s="1"/>
      <c r="AL397" s="438"/>
      <c r="AM397" s="438"/>
      <c r="AN397" s="438"/>
      <c r="AO397" s="438"/>
      <c r="AP397" s="438"/>
      <c r="AQ397" s="438"/>
      <c r="AR397" s="438"/>
      <c r="AS397" s="438"/>
      <c r="AT397" s="29"/>
      <c r="AU397" s="30"/>
      <c r="AV397" s="30"/>
      <c r="AW397" s="30"/>
      <c r="AX397" s="30"/>
    </row>
    <row r="398" spans="1:50" ht="11.25" customHeight="1">
      <c r="A398" s="1"/>
      <c r="B398" s="442"/>
      <c r="C398" s="445"/>
      <c r="D398" s="448"/>
      <c r="E398" s="451"/>
      <c r="F398" s="454"/>
      <c r="G398" s="454"/>
      <c r="H398" s="471"/>
      <c r="I398" s="473"/>
      <c r="J398" s="473"/>
      <c r="K398" s="471"/>
      <c r="L398" s="44">
        <f t="shared" ref="L398" si="601">ROUNDUP(L397/60,2)</f>
        <v>0</v>
      </c>
      <c r="M398" s="44"/>
      <c r="N398" s="476"/>
      <c r="O398" s="46"/>
      <c r="P398" s="46"/>
      <c r="Q398" s="47"/>
      <c r="R398" s="47"/>
      <c r="S398" s="47"/>
      <c r="T398" s="48"/>
      <c r="U398" s="462"/>
      <c r="V398" s="462"/>
      <c r="W398" s="36"/>
      <c r="X398" s="49"/>
      <c r="Y398" s="50"/>
      <c r="Z398" s="50"/>
      <c r="AA398" s="50"/>
      <c r="AB398" s="51"/>
      <c r="AC398" s="52"/>
      <c r="AD398" s="465"/>
      <c r="AE398" s="53"/>
      <c r="AF398" s="54"/>
      <c r="AG398" s="55"/>
      <c r="AH398" s="468"/>
      <c r="AI398" s="468"/>
      <c r="AJ398" s="55"/>
      <c r="AK398" s="1"/>
      <c r="AL398" s="438"/>
      <c r="AM398" s="438"/>
      <c r="AN398" s="438"/>
      <c r="AO398" s="438"/>
      <c r="AP398" s="438"/>
      <c r="AQ398" s="438"/>
      <c r="AR398" s="438"/>
      <c r="AS398" s="438"/>
      <c r="AT398" s="29"/>
      <c r="AU398" s="30"/>
      <c r="AV398" s="30"/>
      <c r="AW398" s="30"/>
      <c r="AX398" s="30"/>
    </row>
    <row r="399" spans="1:50" ht="11.25" customHeight="1">
      <c r="A399" s="1"/>
      <c r="B399" s="442"/>
      <c r="C399" s="445"/>
      <c r="D399" s="448"/>
      <c r="E399" s="451"/>
      <c r="F399" s="454"/>
      <c r="G399" s="454"/>
      <c r="H399" s="471"/>
      <c r="I399" s="473"/>
      <c r="J399" s="473"/>
      <c r="K399" s="471"/>
      <c r="L399" s="44">
        <f t="shared" ref="L399" si="602">IF(L398&gt;0,L398-HOUR(H395)-MINUTE(H395)/60,0)</f>
        <v>0</v>
      </c>
      <c r="M399" s="56">
        <f t="shared" ref="M399" si="603">TIME(L399-MOD(L399,1),MOD(L399,1)*60,0)</f>
        <v>0</v>
      </c>
      <c r="N399" s="476"/>
      <c r="O399" s="45">
        <f t="shared" ref="O399" si="604">M401</f>
        <v>0</v>
      </c>
      <c r="P399" s="45">
        <f t="shared" ref="P399" si="605">SUMIF(AB395:AB404,"1.25",AC395:AC404)+SUMIF(AB395:AB404,"他時間外",AC395:AC404)+SUMIF(AB395:AB404,"1.35",AC395:AC404)</f>
        <v>0</v>
      </c>
      <c r="Q399" s="47"/>
      <c r="R399" s="47"/>
      <c r="S399" s="47"/>
      <c r="T399" s="48"/>
      <c r="U399" s="462"/>
      <c r="V399" s="462"/>
      <c r="W399" s="36"/>
      <c r="X399" s="49"/>
      <c r="Y399" s="50"/>
      <c r="Z399" s="50"/>
      <c r="AA399" s="50"/>
      <c r="AB399" s="51"/>
      <c r="AC399" s="52"/>
      <c r="AD399" s="465"/>
      <c r="AE399" s="53"/>
      <c r="AF399" s="54"/>
      <c r="AG399" s="55"/>
      <c r="AH399" s="468"/>
      <c r="AI399" s="468"/>
      <c r="AJ399" s="55"/>
      <c r="AK399" s="1"/>
      <c r="AL399" s="438"/>
      <c r="AM399" s="438"/>
      <c r="AN399" s="438"/>
      <c r="AO399" s="438"/>
      <c r="AP399" s="438"/>
      <c r="AQ399" s="438"/>
      <c r="AR399" s="438"/>
      <c r="AS399" s="438"/>
      <c r="AT399" s="29"/>
      <c r="AU399" s="30"/>
      <c r="AV399" s="30"/>
      <c r="AW399" s="30"/>
      <c r="AX399" s="30"/>
    </row>
    <row r="400" spans="1:50" ht="11.25" customHeight="1">
      <c r="A400" s="1"/>
      <c r="B400" s="442"/>
      <c r="C400" s="445"/>
      <c r="D400" s="448"/>
      <c r="E400" s="451"/>
      <c r="F400" s="454"/>
      <c r="G400" s="454"/>
      <c r="H400" s="471"/>
      <c r="I400" s="473"/>
      <c r="J400" s="473"/>
      <c r="K400" s="471"/>
      <c r="L400" s="44">
        <f t="shared" ref="L400" si="606">L399-$L$12</f>
        <v>-7.75</v>
      </c>
      <c r="M400" s="44"/>
      <c r="N400" s="476"/>
      <c r="O400" s="46"/>
      <c r="P400" s="46"/>
      <c r="Q400" s="47"/>
      <c r="R400" s="47"/>
      <c r="S400" s="47"/>
      <c r="T400" s="48"/>
      <c r="U400" s="462"/>
      <c r="V400" s="462"/>
      <c r="W400" s="36"/>
      <c r="X400" s="49"/>
      <c r="Y400" s="50"/>
      <c r="Z400" s="50"/>
      <c r="AA400" s="50"/>
      <c r="AB400" s="51"/>
      <c r="AC400" s="52"/>
      <c r="AD400" s="465"/>
      <c r="AE400" s="53"/>
      <c r="AF400" s="54"/>
      <c r="AG400" s="55"/>
      <c r="AH400" s="468"/>
      <c r="AI400" s="468"/>
      <c r="AJ400" s="55"/>
      <c r="AK400" s="1"/>
      <c r="AL400" s="438"/>
      <c r="AM400" s="438"/>
      <c r="AN400" s="438"/>
      <c r="AO400" s="438"/>
      <c r="AP400" s="438"/>
      <c r="AQ400" s="438"/>
      <c r="AR400" s="438"/>
      <c r="AS400" s="438"/>
      <c r="AT400" s="29"/>
      <c r="AU400" s="30"/>
      <c r="AV400" s="30"/>
      <c r="AW400" s="30"/>
      <c r="AX400" s="30"/>
    </row>
    <row r="401" spans="1:50" ht="11.25" customHeight="1">
      <c r="A401" s="1"/>
      <c r="B401" s="442"/>
      <c r="C401" s="445"/>
      <c r="D401" s="448"/>
      <c r="E401" s="451"/>
      <c r="F401" s="454"/>
      <c r="G401" s="454"/>
      <c r="H401" s="471"/>
      <c r="I401" s="473"/>
      <c r="J401" s="473"/>
      <c r="K401" s="471"/>
      <c r="L401" s="44">
        <f t="shared" ref="L401" si="607">IF($I$3= "協力会社",0,IF(L400&gt;0,L400,0))</f>
        <v>0</v>
      </c>
      <c r="M401" s="56">
        <f t="shared" ref="M401" si="608">TIME(L401-MOD(L401,1),MOD(L401,1)*60,0)</f>
        <v>0</v>
      </c>
      <c r="N401" s="476"/>
      <c r="O401" s="46"/>
      <c r="P401" s="45">
        <f t="shared" ref="P401" si="609">SUMIF(AB395:AB404,"0.25深夜",AC395:AC404)</f>
        <v>0</v>
      </c>
      <c r="Q401" s="47"/>
      <c r="R401" s="47"/>
      <c r="S401" s="47"/>
      <c r="T401" s="48"/>
      <c r="U401" s="462"/>
      <c r="V401" s="462"/>
      <c r="W401" s="36"/>
      <c r="X401" s="49"/>
      <c r="Y401" s="50"/>
      <c r="Z401" s="50"/>
      <c r="AA401" s="50"/>
      <c r="AB401" s="51"/>
      <c r="AC401" s="52"/>
      <c r="AD401" s="465"/>
      <c r="AE401" s="53"/>
      <c r="AF401" s="54"/>
      <c r="AG401" s="55"/>
      <c r="AH401" s="468"/>
      <c r="AI401" s="468"/>
      <c r="AJ401" s="55"/>
      <c r="AK401" s="1"/>
      <c r="AL401" s="438"/>
      <c r="AM401" s="438"/>
      <c r="AN401" s="438"/>
      <c r="AO401" s="438"/>
      <c r="AP401" s="438"/>
      <c r="AQ401" s="438"/>
      <c r="AR401" s="438"/>
      <c r="AS401" s="438"/>
      <c r="AT401" s="29"/>
      <c r="AU401" s="30"/>
      <c r="AV401" s="30"/>
      <c r="AW401" s="30"/>
      <c r="AX401" s="30"/>
    </row>
    <row r="402" spans="1:50" ht="11.25" customHeight="1">
      <c r="A402" s="1"/>
      <c r="B402" s="442"/>
      <c r="C402" s="445"/>
      <c r="D402" s="448"/>
      <c r="E402" s="451"/>
      <c r="F402" s="454"/>
      <c r="G402" s="454"/>
      <c r="H402" s="471"/>
      <c r="I402" s="473"/>
      <c r="J402" s="473"/>
      <c r="K402" s="471"/>
      <c r="L402" s="44"/>
      <c r="M402" s="44"/>
      <c r="N402" s="476"/>
      <c r="O402" s="46"/>
      <c r="P402" s="46"/>
      <c r="Q402" s="47"/>
      <c r="R402" s="47"/>
      <c r="S402" s="47"/>
      <c r="T402" s="48"/>
      <c r="U402" s="462"/>
      <c r="V402" s="462"/>
      <c r="W402" s="36"/>
      <c r="X402" s="49"/>
      <c r="Y402" s="50"/>
      <c r="Z402" s="50"/>
      <c r="AA402" s="50"/>
      <c r="AB402" s="51"/>
      <c r="AC402" s="52"/>
      <c r="AD402" s="465"/>
      <c r="AE402" s="53"/>
      <c r="AF402" s="54"/>
      <c r="AG402" s="55"/>
      <c r="AH402" s="468"/>
      <c r="AI402" s="468"/>
      <c r="AJ402" s="55"/>
      <c r="AK402" s="1"/>
      <c r="AL402" s="438"/>
      <c r="AM402" s="438"/>
      <c r="AN402" s="438"/>
      <c r="AO402" s="438"/>
      <c r="AP402" s="438"/>
      <c r="AQ402" s="438"/>
      <c r="AR402" s="438"/>
      <c r="AS402" s="438"/>
      <c r="AT402" s="29"/>
      <c r="AU402" s="30"/>
      <c r="AV402" s="30"/>
      <c r="AW402" s="30"/>
      <c r="AX402" s="30"/>
    </row>
    <row r="403" spans="1:50" ht="11.25" customHeight="1">
      <c r="A403" s="1"/>
      <c r="B403" s="442"/>
      <c r="C403" s="445"/>
      <c r="D403" s="448"/>
      <c r="E403" s="451"/>
      <c r="F403" s="454"/>
      <c r="G403" s="454"/>
      <c r="H403" s="471"/>
      <c r="I403" s="473"/>
      <c r="J403" s="473"/>
      <c r="K403" s="471"/>
      <c r="L403" s="44"/>
      <c r="M403" s="44"/>
      <c r="N403" s="478"/>
      <c r="O403" s="57">
        <f t="shared" ref="O403" si="610">O395+O399</f>
        <v>0</v>
      </c>
      <c r="P403" s="57">
        <f t="shared" ref="P403" si="611">SUM(P395:P399)</f>
        <v>0</v>
      </c>
      <c r="Q403" s="47"/>
      <c r="R403" s="47"/>
      <c r="S403" s="47"/>
      <c r="T403" s="48"/>
      <c r="U403" s="462"/>
      <c r="V403" s="462"/>
      <c r="W403" s="36"/>
      <c r="X403" s="49"/>
      <c r="Y403" s="49"/>
      <c r="Z403" s="49"/>
      <c r="AA403" s="49"/>
      <c r="AB403" s="51"/>
      <c r="AC403" s="52"/>
      <c r="AD403" s="465"/>
      <c r="AE403" s="53"/>
      <c r="AF403" s="59"/>
      <c r="AG403" s="60"/>
      <c r="AH403" s="468"/>
      <c r="AI403" s="468"/>
      <c r="AJ403" s="55"/>
      <c r="AK403" s="1"/>
      <c r="AL403" s="438"/>
      <c r="AM403" s="438"/>
      <c r="AN403" s="438"/>
      <c r="AO403" s="438"/>
      <c r="AP403" s="438"/>
      <c r="AQ403" s="438"/>
      <c r="AR403" s="438"/>
      <c r="AS403" s="438"/>
      <c r="AT403" s="29"/>
      <c r="AU403" s="30"/>
      <c r="AV403" s="30"/>
      <c r="AW403" s="30"/>
      <c r="AX403" s="30"/>
    </row>
    <row r="404" spans="1:50" ht="11.25" customHeight="1">
      <c r="A404" s="1"/>
      <c r="B404" s="443"/>
      <c r="C404" s="446"/>
      <c r="D404" s="449"/>
      <c r="E404" s="452"/>
      <c r="F404" s="455"/>
      <c r="G404" s="455"/>
      <c r="H404" s="472"/>
      <c r="I404" s="474"/>
      <c r="J404" s="474"/>
      <c r="K404" s="472"/>
      <c r="L404" s="61"/>
      <c r="M404" s="61"/>
      <c r="N404" s="477"/>
      <c r="O404" s="62"/>
      <c r="P404" s="62"/>
      <c r="Q404" s="63"/>
      <c r="R404" s="63"/>
      <c r="S404" s="63"/>
      <c r="T404" s="64"/>
      <c r="U404" s="463"/>
      <c r="V404" s="463"/>
      <c r="W404" s="65"/>
      <c r="X404" s="66"/>
      <c r="Y404" s="67"/>
      <c r="Z404" s="67"/>
      <c r="AA404" s="67"/>
      <c r="AB404" s="68"/>
      <c r="AC404" s="69"/>
      <c r="AD404" s="466"/>
      <c r="AE404" s="70"/>
      <c r="AF404" s="71"/>
      <c r="AG404" s="72"/>
      <c r="AH404" s="469"/>
      <c r="AI404" s="469"/>
      <c r="AJ404" s="72"/>
      <c r="AK404" s="1"/>
      <c r="AL404" s="439"/>
      <c r="AM404" s="439"/>
      <c r="AN404" s="439"/>
      <c r="AO404" s="439"/>
      <c r="AP404" s="439"/>
      <c r="AQ404" s="439"/>
      <c r="AR404" s="439"/>
      <c r="AS404" s="439"/>
      <c r="AT404" s="29"/>
      <c r="AU404" s="30"/>
      <c r="AV404" s="30"/>
      <c r="AW404" s="30"/>
      <c r="AX404" s="30"/>
    </row>
    <row r="405" spans="1:50">
      <c r="A405" s="1"/>
      <c r="B405" s="1"/>
      <c r="C405" s="1"/>
      <c r="D405" s="1"/>
      <c r="E405" s="1"/>
      <c r="F405" s="1"/>
      <c r="G405" s="1"/>
      <c r="H405" s="1"/>
      <c r="I405" s="1"/>
      <c r="J405" s="1"/>
      <c r="K405" s="1"/>
      <c r="L405" s="1"/>
      <c r="M405" s="1"/>
      <c r="N405" s="1"/>
      <c r="O405" s="1"/>
      <c r="P405" s="1"/>
      <c r="Q405" s="1"/>
      <c r="R405" s="1"/>
      <c r="S405" s="1"/>
      <c r="T405" s="1"/>
      <c r="U405" s="1"/>
      <c r="V405" s="1"/>
      <c r="W405" s="1"/>
      <c r="X405" s="15"/>
      <c r="Y405" s="1"/>
      <c r="Z405" s="1"/>
      <c r="AA405" s="1"/>
      <c r="AB405" s="1"/>
      <c r="AC405" s="1"/>
      <c r="AD405" s="1"/>
      <c r="AE405" s="1"/>
      <c r="AF405" s="1"/>
      <c r="AG405" s="1"/>
      <c r="AH405" s="1"/>
      <c r="AI405" s="1"/>
      <c r="AJ405" s="1"/>
      <c r="AK405" s="1"/>
      <c r="AL405" s="1"/>
      <c r="AM405" s="1"/>
      <c r="AN405" s="1"/>
      <c r="AO405" s="1"/>
      <c r="AP405" s="1"/>
      <c r="AQ405" s="1"/>
      <c r="AR405" s="1"/>
      <c r="AS405" s="1"/>
      <c r="AT405" s="1"/>
    </row>
    <row r="406" spans="1:50">
      <c r="A406" s="1"/>
      <c r="B406" s="1"/>
      <c r="C406" s="1"/>
      <c r="D406" s="1"/>
      <c r="E406" s="1"/>
      <c r="F406" s="1"/>
      <c r="G406" s="1"/>
      <c r="H406" s="1"/>
      <c r="I406" s="1"/>
      <c r="J406" s="1"/>
      <c r="K406" s="1"/>
      <c r="L406" s="1"/>
      <c r="M406" s="1"/>
      <c r="N406" s="1"/>
      <c r="O406" s="1"/>
      <c r="P406" s="1"/>
      <c r="Q406" s="1"/>
      <c r="R406" s="1"/>
      <c r="S406" s="1"/>
      <c r="T406" s="1"/>
      <c r="U406" s="1"/>
      <c r="V406" s="1"/>
      <c r="W406" s="1"/>
      <c r="X406" s="15"/>
      <c r="Y406" s="1"/>
      <c r="Z406" s="1"/>
      <c r="AA406" s="1"/>
      <c r="AB406" s="1"/>
      <c r="AC406" s="1"/>
      <c r="AD406" s="1"/>
      <c r="AE406" s="1"/>
      <c r="AF406" s="1"/>
      <c r="AG406" s="1"/>
      <c r="AH406" s="1"/>
      <c r="AI406" s="1"/>
      <c r="AJ406" s="1"/>
      <c r="AK406" s="1"/>
      <c r="AL406" s="1"/>
      <c r="AM406" s="1"/>
      <c r="AN406" s="1"/>
      <c r="AO406" s="1"/>
      <c r="AP406" s="1"/>
      <c r="AQ406" s="1"/>
      <c r="AR406" s="1"/>
      <c r="AS406" s="1"/>
      <c r="AT406" s="1"/>
    </row>
    <row r="407" spans="1:50" hidden="1">
      <c r="A407" s="1"/>
      <c r="B407" s="1"/>
      <c r="C407" s="1"/>
      <c r="D407" s="1"/>
      <c r="E407" s="1"/>
      <c r="F407" s="1"/>
      <c r="G407" s="1"/>
      <c r="H407" s="1"/>
      <c r="I407" s="74"/>
      <c r="J407" s="74"/>
      <c r="K407" s="74"/>
      <c r="L407" s="1"/>
      <c r="M407" s="1"/>
      <c r="N407" s="1"/>
      <c r="O407" s="1"/>
      <c r="P407" s="1">
        <f>SUMIF(Z405:Z414,"有給休暇",AA405:AA414)+SUMIF(Z405:Z414,"無給休暇",AA405:AA414)+SUMIF(Z405:Z414,"振替休日",AA405:AA414)+SUMIF(Z405:Z414,"特休",AA405:AA414)</f>
        <v>0</v>
      </c>
      <c r="Q407" s="1"/>
      <c r="R407" s="1"/>
      <c r="S407" s="1"/>
      <c r="T407" s="1"/>
      <c r="U407" s="75" t="s">
        <v>53</v>
      </c>
      <c r="V407" s="74"/>
      <c r="W407" s="74"/>
      <c r="X407" s="76"/>
      <c r="Y407" s="74"/>
      <c r="Z407" s="74"/>
      <c r="AA407" s="74"/>
      <c r="AB407" s="74"/>
      <c r="AC407" s="74"/>
      <c r="AD407" s="74"/>
      <c r="AE407" s="77"/>
      <c r="AF407" s="1"/>
      <c r="AG407" s="1"/>
      <c r="AH407" s="1"/>
      <c r="AI407" s="1"/>
      <c r="AJ407" s="1"/>
      <c r="AK407" s="1"/>
      <c r="AL407" s="1"/>
      <c r="AM407" s="1"/>
      <c r="AN407" s="1"/>
      <c r="AO407" s="1"/>
      <c r="AP407" s="1"/>
      <c r="AQ407" s="1"/>
      <c r="AR407" s="1"/>
      <c r="AS407" s="1"/>
      <c r="AT407" s="1"/>
    </row>
    <row r="408" spans="1:50" hidden="1">
      <c r="A408" s="1"/>
      <c r="B408" s="1"/>
      <c r="C408" s="1"/>
      <c r="D408" s="1"/>
      <c r="E408" s="1"/>
      <c r="F408" s="1"/>
      <c r="G408" s="1"/>
      <c r="H408" s="1"/>
      <c r="I408" s="78"/>
      <c r="J408" s="78"/>
      <c r="K408" s="78"/>
      <c r="L408" s="1"/>
      <c r="M408" s="1"/>
      <c r="N408" s="1"/>
      <c r="O408" s="1"/>
      <c r="P408" s="1"/>
      <c r="Q408" s="1"/>
      <c r="R408" s="1"/>
      <c r="S408" s="1"/>
      <c r="T408" s="1"/>
      <c r="U408" s="78" t="s">
        <v>54</v>
      </c>
      <c r="V408" s="78" t="s">
        <v>55</v>
      </c>
      <c r="W408" s="78"/>
      <c r="X408" s="79" t="s">
        <v>56</v>
      </c>
      <c r="Y408" s="78" t="s">
        <v>57</v>
      </c>
      <c r="Z408" s="78" t="s">
        <v>58</v>
      </c>
      <c r="AA408" s="78" t="s">
        <v>59</v>
      </c>
      <c r="AB408" s="78"/>
      <c r="AC408" s="78" t="s">
        <v>60</v>
      </c>
      <c r="AD408" s="78"/>
      <c r="AE408" s="78" t="s">
        <v>61</v>
      </c>
      <c r="AF408" s="1"/>
      <c r="AG408" s="1"/>
      <c r="AH408" s="1"/>
      <c r="AI408" s="1"/>
      <c r="AJ408" s="1"/>
      <c r="AK408" s="1"/>
      <c r="AL408" s="1"/>
      <c r="AM408" s="1"/>
      <c r="AN408" s="1"/>
      <c r="AO408" s="1"/>
      <c r="AP408" s="1"/>
      <c r="AQ408" s="1"/>
      <c r="AR408" s="1"/>
      <c r="AS408" s="1"/>
      <c r="AT408" s="1"/>
    </row>
    <row r="409" spans="1:50" hidden="1">
      <c r="A409" s="1"/>
      <c r="B409" s="1"/>
      <c r="C409" s="1"/>
      <c r="D409" s="1"/>
      <c r="E409" s="1"/>
      <c r="F409" s="1"/>
      <c r="G409" s="1"/>
      <c r="H409" s="1"/>
      <c r="I409" s="80"/>
      <c r="J409" s="80"/>
      <c r="K409" s="80"/>
      <c r="L409" s="1"/>
      <c r="M409" s="1"/>
      <c r="N409" s="1"/>
      <c r="O409" s="1"/>
      <c r="P409" s="1">
        <f>SUMIF(Z405:Z414,"時間外",AA405:AA414)+SUMIF(Z405:Z414,"時間外その他",AA405:AA414)</f>
        <v>0</v>
      </c>
      <c r="Q409" s="1"/>
      <c r="R409" s="1"/>
      <c r="S409" s="1"/>
      <c r="T409" s="1"/>
      <c r="U409" s="80">
        <v>1</v>
      </c>
      <c r="V409" s="80"/>
      <c r="W409" s="80"/>
      <c r="X409" s="81"/>
      <c r="Y409" s="82"/>
      <c r="Z409" s="82"/>
      <c r="AA409" s="83"/>
      <c r="AB409" s="83"/>
      <c r="AC409" s="80"/>
      <c r="AD409" s="80"/>
      <c r="AE409" s="80"/>
      <c r="AF409" s="1"/>
      <c r="AG409" s="1"/>
      <c r="AH409" s="1"/>
      <c r="AI409" s="1"/>
      <c r="AJ409" s="1"/>
      <c r="AK409" s="1"/>
      <c r="AL409" s="1"/>
      <c r="AM409" s="1"/>
      <c r="AN409" s="1"/>
      <c r="AO409" s="1"/>
      <c r="AP409" s="1"/>
      <c r="AQ409" s="1"/>
      <c r="AR409" s="1"/>
      <c r="AS409" s="1"/>
      <c r="AT409" s="1"/>
    </row>
    <row r="410" spans="1:50" hidden="1">
      <c r="A410" s="1"/>
      <c r="B410" s="1"/>
      <c r="C410" s="1"/>
      <c r="D410" s="1"/>
      <c r="E410" s="1"/>
      <c r="F410" s="1"/>
      <c r="G410" s="1"/>
      <c r="H410" s="1"/>
      <c r="I410" s="80"/>
      <c r="J410" s="80"/>
      <c r="K410" s="80"/>
      <c r="L410" s="1"/>
      <c r="M410" s="1"/>
      <c r="N410" s="1"/>
      <c r="O410" s="1"/>
      <c r="P410" s="1"/>
      <c r="Q410" s="1"/>
      <c r="R410" s="1"/>
      <c r="S410" s="1"/>
      <c r="T410" s="1"/>
      <c r="U410" s="80">
        <v>2</v>
      </c>
      <c r="V410" s="80"/>
      <c r="W410" s="80"/>
      <c r="X410" s="81"/>
      <c r="Y410" s="82"/>
      <c r="Z410" s="82"/>
      <c r="AA410" s="83"/>
      <c r="AB410" s="83"/>
      <c r="AC410" s="80"/>
      <c r="AD410" s="80"/>
      <c r="AE410" s="80"/>
      <c r="AF410" s="1"/>
      <c r="AG410" s="1"/>
      <c r="AH410" s="1"/>
      <c r="AI410" s="1"/>
      <c r="AJ410" s="1"/>
      <c r="AK410" s="1"/>
      <c r="AL410" s="1"/>
      <c r="AM410" s="1"/>
      <c r="AN410" s="1"/>
      <c r="AO410" s="1"/>
      <c r="AP410" s="1"/>
      <c r="AQ410" s="1"/>
      <c r="AR410" s="1"/>
      <c r="AS410" s="1"/>
      <c r="AT410" s="1"/>
    </row>
    <row r="411" spans="1:50" hidden="1">
      <c r="A411" s="1"/>
      <c r="B411" s="1"/>
      <c r="C411" s="1"/>
      <c r="D411" s="1"/>
      <c r="E411" s="1"/>
      <c r="F411" s="1"/>
      <c r="G411" s="1"/>
      <c r="H411" s="1"/>
      <c r="I411" s="80"/>
      <c r="J411" s="80"/>
      <c r="K411" s="80"/>
      <c r="L411" s="1"/>
      <c r="M411" s="1"/>
      <c r="N411" s="1"/>
      <c r="O411" s="1"/>
      <c r="P411" s="1">
        <f>SUMIF(Z405:Z414,"時間外深夜",AA405:AA414)</f>
        <v>0</v>
      </c>
      <c r="Q411" s="1"/>
      <c r="R411" s="1"/>
      <c r="S411" s="1"/>
      <c r="T411" s="1"/>
      <c r="U411" s="80">
        <v>3</v>
      </c>
      <c r="V411" s="80"/>
      <c r="W411" s="80"/>
      <c r="X411" s="81"/>
      <c r="Y411" s="82"/>
      <c r="Z411" s="82"/>
      <c r="AA411" s="83"/>
      <c r="AB411" s="83"/>
      <c r="AC411" s="80"/>
      <c r="AD411" s="80"/>
      <c r="AE411" s="80"/>
      <c r="AF411" s="1"/>
      <c r="AG411" s="1"/>
      <c r="AH411" s="1"/>
      <c r="AI411" s="1"/>
      <c r="AJ411" s="1"/>
      <c r="AK411" s="1"/>
      <c r="AL411" s="1"/>
      <c r="AM411" s="1"/>
      <c r="AN411" s="1"/>
      <c r="AO411" s="1"/>
      <c r="AP411" s="1"/>
      <c r="AQ411" s="1"/>
      <c r="AR411" s="1"/>
      <c r="AS411" s="1"/>
      <c r="AT411" s="1"/>
    </row>
    <row r="412" spans="1:50" hidden="1">
      <c r="A412" s="1"/>
      <c r="B412" s="1"/>
      <c r="C412" s="1"/>
      <c r="D412" s="1"/>
      <c r="E412" s="1"/>
      <c r="F412" s="1"/>
      <c r="G412" s="1"/>
      <c r="H412" s="1"/>
      <c r="I412" s="80"/>
      <c r="J412" s="80"/>
      <c r="K412" s="80"/>
      <c r="L412" s="1"/>
      <c r="M412" s="1"/>
      <c r="N412" s="1"/>
      <c r="O412" s="1"/>
      <c r="P412" s="1"/>
      <c r="Q412" s="1"/>
      <c r="R412" s="1"/>
      <c r="S412" s="1"/>
      <c r="T412" s="1"/>
      <c r="U412" s="80">
        <v>4</v>
      </c>
      <c r="V412" s="80"/>
      <c r="W412" s="80"/>
      <c r="X412" s="81"/>
      <c r="Y412" s="82"/>
      <c r="Z412" s="82"/>
      <c r="AA412" s="83"/>
      <c r="AB412" s="83"/>
      <c r="AC412" s="80"/>
      <c r="AD412" s="80"/>
      <c r="AE412" s="80"/>
      <c r="AF412" s="1"/>
      <c r="AG412" s="1"/>
      <c r="AH412" s="1"/>
      <c r="AI412" s="1"/>
      <c r="AJ412" s="1"/>
      <c r="AK412" s="1"/>
      <c r="AL412" s="1"/>
      <c r="AM412" s="1"/>
      <c r="AN412" s="1"/>
      <c r="AO412" s="1"/>
      <c r="AP412" s="1"/>
      <c r="AQ412" s="1"/>
      <c r="AR412" s="1"/>
      <c r="AS412" s="1"/>
      <c r="AT412" s="1"/>
    </row>
    <row r="413" spans="1:50" hidden="1">
      <c r="A413" s="1"/>
      <c r="B413" s="1"/>
      <c r="C413" s="1"/>
      <c r="D413" s="1"/>
      <c r="E413" s="1"/>
      <c r="F413" s="1"/>
      <c r="G413" s="1"/>
      <c r="H413" s="1"/>
      <c r="I413" s="80"/>
      <c r="J413" s="80"/>
      <c r="K413" s="80"/>
      <c r="L413" s="1"/>
      <c r="M413" s="1"/>
      <c r="N413" s="1"/>
      <c r="O413" s="1"/>
      <c r="P413" s="1">
        <f>SUM(P405:P411)</f>
        <v>0</v>
      </c>
      <c r="Q413" s="1"/>
      <c r="R413" s="1"/>
      <c r="S413" s="1"/>
      <c r="T413" s="1"/>
      <c r="U413" s="80">
        <v>5</v>
      </c>
      <c r="V413" s="80"/>
      <c r="W413" s="80"/>
      <c r="X413" s="81"/>
      <c r="Y413" s="80"/>
      <c r="Z413" s="82"/>
      <c r="AA413" s="83"/>
      <c r="AB413" s="83"/>
      <c r="AC413" s="80"/>
      <c r="AD413" s="80"/>
      <c r="AE413" s="80"/>
      <c r="AF413" s="1"/>
      <c r="AG413" s="1"/>
      <c r="AH413" s="1"/>
      <c r="AI413" s="1"/>
      <c r="AJ413" s="1"/>
      <c r="AK413" s="1"/>
      <c r="AL413" s="1"/>
      <c r="AM413" s="1"/>
      <c r="AN413" s="1"/>
      <c r="AO413" s="1"/>
      <c r="AP413" s="1"/>
      <c r="AQ413" s="1"/>
      <c r="AR413" s="1"/>
      <c r="AS413" s="1"/>
      <c r="AT413" s="1"/>
    </row>
    <row r="414" spans="1:50" hidden="1">
      <c r="A414" s="1"/>
      <c r="B414" s="1"/>
      <c r="C414" s="1"/>
      <c r="D414" s="1"/>
      <c r="E414" s="1"/>
      <c r="F414" s="1"/>
      <c r="G414" s="1"/>
      <c r="H414" s="1"/>
      <c r="I414" s="80"/>
      <c r="J414" s="80"/>
      <c r="K414" s="80"/>
      <c r="L414" s="1"/>
      <c r="M414" s="1"/>
      <c r="N414" s="1"/>
      <c r="O414" s="1"/>
      <c r="P414" s="1"/>
      <c r="Q414" s="1"/>
      <c r="R414" s="1"/>
      <c r="S414" s="1"/>
      <c r="T414" s="1"/>
      <c r="U414" s="80">
        <v>6</v>
      </c>
      <c r="V414" s="80"/>
      <c r="W414" s="80"/>
      <c r="X414" s="81"/>
      <c r="Y414" s="80"/>
      <c r="Z414" s="82"/>
      <c r="AA414" s="83"/>
      <c r="AB414" s="83"/>
      <c r="AC414" s="80"/>
      <c r="AD414" s="80"/>
      <c r="AE414" s="80"/>
      <c r="AF414" s="1"/>
      <c r="AG414" s="1"/>
      <c r="AH414" s="1"/>
      <c r="AI414" s="1"/>
      <c r="AJ414" s="1"/>
      <c r="AK414" s="1"/>
      <c r="AL414" s="1"/>
      <c r="AM414" s="1"/>
      <c r="AN414" s="1"/>
      <c r="AO414" s="1"/>
      <c r="AP414" s="1"/>
      <c r="AQ414" s="1"/>
      <c r="AR414" s="1"/>
      <c r="AS414" s="1"/>
      <c r="AT414" s="1"/>
    </row>
    <row r="415" spans="1:50" hidden="1">
      <c r="A415" s="1"/>
      <c r="B415" s="1"/>
      <c r="C415" s="1"/>
      <c r="D415" s="1"/>
      <c r="E415" s="1"/>
      <c r="F415" s="1"/>
      <c r="G415" s="1"/>
      <c r="H415" s="1"/>
      <c r="I415" s="80"/>
      <c r="J415" s="80"/>
      <c r="K415" s="80"/>
      <c r="L415" s="1"/>
      <c r="M415" s="1"/>
      <c r="N415" s="1"/>
      <c r="O415" s="1"/>
      <c r="P415" s="1"/>
      <c r="Q415" s="1"/>
      <c r="R415" s="1"/>
      <c r="S415" s="1"/>
      <c r="T415" s="1"/>
      <c r="U415" s="80">
        <v>7</v>
      </c>
      <c r="V415" s="80"/>
      <c r="W415" s="80"/>
      <c r="X415" s="81"/>
      <c r="Y415" s="80"/>
      <c r="Z415" s="82"/>
      <c r="AA415" s="83"/>
      <c r="AB415" s="83"/>
      <c r="AC415" s="80"/>
      <c r="AD415" s="80"/>
      <c r="AE415" s="80"/>
      <c r="AF415" s="1"/>
      <c r="AG415" s="1"/>
      <c r="AH415" s="1"/>
      <c r="AI415" s="1"/>
      <c r="AJ415" s="1"/>
      <c r="AK415" s="1"/>
      <c r="AL415" s="1"/>
      <c r="AM415" s="1"/>
      <c r="AN415" s="1"/>
      <c r="AO415" s="1"/>
      <c r="AP415" s="1"/>
      <c r="AQ415" s="1"/>
      <c r="AR415" s="1"/>
      <c r="AS415" s="1"/>
      <c r="AT415" s="1"/>
    </row>
    <row r="416" spans="1:50">
      <c r="A416" s="1"/>
      <c r="B416" s="1"/>
      <c r="C416" s="1"/>
      <c r="D416" s="1"/>
      <c r="E416" s="1"/>
      <c r="F416" s="1"/>
      <c r="G416" s="1"/>
      <c r="H416" s="1"/>
      <c r="I416" s="1"/>
      <c r="J416" s="1"/>
      <c r="K416" s="1"/>
      <c r="L416" s="1"/>
      <c r="M416" s="1"/>
      <c r="N416" s="1"/>
      <c r="O416" s="1"/>
      <c r="P416" s="1"/>
      <c r="Q416" s="1"/>
      <c r="R416" s="1"/>
      <c r="S416" s="1"/>
      <c r="T416" s="1"/>
      <c r="U416" s="1"/>
      <c r="V416" s="1"/>
      <c r="W416" s="1"/>
      <c r="X416" s="15"/>
      <c r="Y416" s="1"/>
      <c r="Z416" s="1"/>
      <c r="AA416" s="1"/>
      <c r="AB416" s="1"/>
      <c r="AC416" s="1"/>
      <c r="AD416" s="1"/>
      <c r="AE416" s="1"/>
      <c r="AF416" s="1"/>
      <c r="AG416" s="1"/>
      <c r="AH416" s="1"/>
      <c r="AI416" s="1"/>
      <c r="AJ416" s="1"/>
      <c r="AK416" s="1"/>
      <c r="AL416" s="1"/>
      <c r="AM416" s="1"/>
      <c r="AN416" s="1"/>
      <c r="AO416" s="1"/>
      <c r="AP416" s="1"/>
      <c r="AQ416" s="1"/>
      <c r="AR416" s="1"/>
      <c r="AS416" s="1"/>
      <c r="AT416" s="1"/>
    </row>
    <row r="417" spans="1:46">
      <c r="A417" s="1"/>
      <c r="B417" s="1"/>
      <c r="C417" s="1"/>
      <c r="D417" s="1"/>
      <c r="E417" s="1"/>
      <c r="F417" s="1"/>
      <c r="G417" s="1"/>
      <c r="H417" s="1"/>
      <c r="I417" s="1"/>
      <c r="J417" s="1"/>
      <c r="K417" s="1"/>
      <c r="L417" s="1"/>
      <c r="M417" s="1"/>
      <c r="N417" s="1"/>
      <c r="O417" s="1"/>
      <c r="P417" s="1"/>
      <c r="Q417" s="1"/>
      <c r="R417" s="1"/>
      <c r="S417" s="1"/>
      <c r="T417" s="1"/>
      <c r="U417" s="1"/>
      <c r="V417" s="1"/>
      <c r="W417" s="1"/>
      <c r="X417" s="15"/>
      <c r="Y417" s="1"/>
      <c r="Z417" s="1"/>
      <c r="AA417" s="1"/>
      <c r="AB417" s="1"/>
      <c r="AC417" s="1"/>
      <c r="AD417" s="1"/>
      <c r="AE417" s="1"/>
      <c r="AF417" s="1"/>
      <c r="AG417" s="1"/>
      <c r="AH417" s="1"/>
      <c r="AI417" s="1"/>
      <c r="AJ417" s="1"/>
      <c r="AK417" s="1"/>
      <c r="AL417" s="1"/>
      <c r="AM417" s="1"/>
      <c r="AN417" s="1"/>
      <c r="AO417" s="1"/>
      <c r="AP417" s="1"/>
      <c r="AQ417" s="1"/>
      <c r="AR417" s="1"/>
      <c r="AS417" s="1"/>
      <c r="AT417" s="1"/>
    </row>
    <row r="418" spans="1:46">
      <c r="A418" s="1"/>
      <c r="B418" s="1"/>
      <c r="C418" s="1"/>
      <c r="D418" s="1"/>
      <c r="E418" s="1"/>
      <c r="F418" s="1"/>
      <c r="G418" s="1"/>
      <c r="H418" s="1"/>
      <c r="I418" s="1"/>
      <c r="J418" s="1"/>
      <c r="K418" s="1"/>
      <c r="L418" s="1"/>
      <c r="M418" s="1"/>
      <c r="N418" s="1"/>
      <c r="O418" s="1"/>
      <c r="P418" s="1"/>
      <c r="Q418" s="1"/>
      <c r="R418" s="1"/>
      <c r="S418" s="1"/>
      <c r="T418" s="1"/>
      <c r="U418" s="1"/>
      <c r="V418" s="1"/>
      <c r="W418" s="1"/>
      <c r="X418" s="15"/>
      <c r="Y418" s="1"/>
      <c r="Z418" s="1"/>
      <c r="AA418" s="1"/>
      <c r="AB418" s="1"/>
      <c r="AC418" s="1"/>
      <c r="AD418" s="1"/>
      <c r="AE418" s="1"/>
      <c r="AF418" s="1"/>
      <c r="AG418" s="1"/>
      <c r="AH418" s="1"/>
      <c r="AI418" s="1"/>
      <c r="AJ418" s="1"/>
      <c r="AK418" s="1"/>
      <c r="AL418" s="1"/>
      <c r="AM418" s="1"/>
      <c r="AN418" s="1"/>
      <c r="AO418" s="1"/>
      <c r="AP418" s="1"/>
      <c r="AQ418" s="1"/>
      <c r="AR418" s="1"/>
      <c r="AS418" s="1"/>
      <c r="AT418" s="1"/>
    </row>
    <row r="419" spans="1:46">
      <c r="A419" s="1"/>
      <c r="B419" s="1"/>
      <c r="C419" s="1"/>
      <c r="D419" s="1"/>
      <c r="E419" s="1"/>
      <c r="F419" s="1"/>
      <c r="G419" s="1"/>
      <c r="H419" s="1"/>
      <c r="I419" s="1"/>
      <c r="J419" s="1"/>
      <c r="K419" s="1"/>
      <c r="L419" s="1"/>
      <c r="M419" s="1"/>
      <c r="N419" s="1"/>
      <c r="O419" s="1"/>
      <c r="P419" s="1"/>
      <c r="Q419" s="1"/>
      <c r="R419" s="1"/>
      <c r="S419" s="1"/>
      <c r="T419" s="1"/>
      <c r="U419" s="1"/>
      <c r="V419" s="1"/>
      <c r="W419" s="1"/>
      <c r="X419" s="15"/>
      <c r="Y419" s="1"/>
      <c r="Z419" s="1"/>
      <c r="AA419" s="1"/>
      <c r="AB419" s="1"/>
      <c r="AC419" s="1"/>
      <c r="AD419" s="1"/>
      <c r="AE419" s="1"/>
      <c r="AF419" s="1"/>
      <c r="AG419" s="1"/>
      <c r="AH419" s="1"/>
      <c r="AI419" s="1"/>
      <c r="AJ419" s="1"/>
      <c r="AK419" s="1"/>
      <c r="AL419" s="1"/>
      <c r="AM419" s="1"/>
      <c r="AN419" s="1"/>
      <c r="AO419" s="1"/>
      <c r="AP419" s="1"/>
      <c r="AQ419" s="1"/>
      <c r="AR419" s="1"/>
      <c r="AS419" s="1"/>
      <c r="AT419" s="1"/>
    </row>
  </sheetData>
  <sheetProtection algorithmName="SHA-512" hashValue="XYyUJ7d8giu8rp6PMp2PeqQYTbYSviXkVFotdWDdW7sl/S1S4vtjjr3Z8xvPAyscwP7ibUQQ8BtdXwvJSZ4PvQ==" saltValue="D8oQ08W/kfdcdKhes2ZV/g==" spinCount="100000" sheet="1" objects="1" scenarios="1" formatColumns="0" autoFilter="0"/>
  <dataConsolidate/>
  <mergeCells count="985">
    <mergeCell ref="AN395:AN404"/>
    <mergeCell ref="AO395:AO404"/>
    <mergeCell ref="AP395:AP404"/>
    <mergeCell ref="AQ395:AQ404"/>
    <mergeCell ref="AR395:AR404"/>
    <mergeCell ref="AS395:AS404"/>
    <mergeCell ref="V395:V404"/>
    <mergeCell ref="AD395:AD404"/>
    <mergeCell ref="AH395:AH404"/>
    <mergeCell ref="AI395:AI404"/>
    <mergeCell ref="AL395:AL404"/>
    <mergeCell ref="AM395:AM404"/>
    <mergeCell ref="H395:H404"/>
    <mergeCell ref="I395:I404"/>
    <mergeCell ref="J395:J404"/>
    <mergeCell ref="K395:K404"/>
    <mergeCell ref="N395:N404"/>
    <mergeCell ref="U395:U404"/>
    <mergeCell ref="B395:B404"/>
    <mergeCell ref="C395:C404"/>
    <mergeCell ref="D395:D404"/>
    <mergeCell ref="E395:E404"/>
    <mergeCell ref="F395:F404"/>
    <mergeCell ref="G395:G404"/>
    <mergeCell ref="AN385:AN394"/>
    <mergeCell ref="AO385:AO394"/>
    <mergeCell ref="AP385:AP394"/>
    <mergeCell ref="AQ385:AQ394"/>
    <mergeCell ref="AR385:AR394"/>
    <mergeCell ref="AS385:AS394"/>
    <mergeCell ref="V385:V394"/>
    <mergeCell ref="AD385:AD394"/>
    <mergeCell ref="AH385:AH394"/>
    <mergeCell ref="AI385:AI394"/>
    <mergeCell ref="AL385:AL394"/>
    <mergeCell ref="AM385:AM394"/>
    <mergeCell ref="H385:H394"/>
    <mergeCell ref="I385:I394"/>
    <mergeCell ref="J385:J394"/>
    <mergeCell ref="K385:K394"/>
    <mergeCell ref="N385:N394"/>
    <mergeCell ref="U385:U394"/>
    <mergeCell ref="B385:B394"/>
    <mergeCell ref="C385:C394"/>
    <mergeCell ref="D385:D394"/>
    <mergeCell ref="E385:E394"/>
    <mergeCell ref="F385:F394"/>
    <mergeCell ref="G385:G394"/>
    <mergeCell ref="AN375:AN384"/>
    <mergeCell ref="AO375:AO384"/>
    <mergeCell ref="AP375:AP384"/>
    <mergeCell ref="AQ375:AQ384"/>
    <mergeCell ref="AR375:AR384"/>
    <mergeCell ref="AS375:AS384"/>
    <mergeCell ref="V375:V384"/>
    <mergeCell ref="AD375:AD384"/>
    <mergeCell ref="AH375:AH384"/>
    <mergeCell ref="AI375:AI384"/>
    <mergeCell ref="AL375:AL384"/>
    <mergeCell ref="AM375:AM384"/>
    <mergeCell ref="H375:H384"/>
    <mergeCell ref="I375:I384"/>
    <mergeCell ref="J375:J384"/>
    <mergeCell ref="K375:K384"/>
    <mergeCell ref="N375:N384"/>
    <mergeCell ref="U375:U384"/>
    <mergeCell ref="B375:B384"/>
    <mergeCell ref="C375:C384"/>
    <mergeCell ref="D375:D384"/>
    <mergeCell ref="E375:E384"/>
    <mergeCell ref="F375:F384"/>
    <mergeCell ref="G375:G384"/>
    <mergeCell ref="AN365:AN374"/>
    <mergeCell ref="AO365:AO374"/>
    <mergeCell ref="AP365:AP374"/>
    <mergeCell ref="AQ365:AQ374"/>
    <mergeCell ref="AR365:AR374"/>
    <mergeCell ref="AS365:AS374"/>
    <mergeCell ref="V365:V374"/>
    <mergeCell ref="AD365:AD374"/>
    <mergeCell ref="AH365:AH374"/>
    <mergeCell ref="AI365:AI374"/>
    <mergeCell ref="AL365:AL374"/>
    <mergeCell ref="AM365:AM374"/>
    <mergeCell ref="H365:H374"/>
    <mergeCell ref="I365:I374"/>
    <mergeCell ref="J365:J374"/>
    <mergeCell ref="K365:K374"/>
    <mergeCell ref="N365:N374"/>
    <mergeCell ref="U365:U374"/>
    <mergeCell ref="B365:B374"/>
    <mergeCell ref="C365:C374"/>
    <mergeCell ref="D365:D374"/>
    <mergeCell ref="E365:E374"/>
    <mergeCell ref="F365:F374"/>
    <mergeCell ref="G365:G374"/>
    <mergeCell ref="AN355:AN364"/>
    <mergeCell ref="AO355:AO364"/>
    <mergeCell ref="AP355:AP364"/>
    <mergeCell ref="AQ355:AQ364"/>
    <mergeCell ref="AR355:AR364"/>
    <mergeCell ref="AS355:AS364"/>
    <mergeCell ref="V355:V364"/>
    <mergeCell ref="AD355:AD364"/>
    <mergeCell ref="AH355:AH364"/>
    <mergeCell ref="AI355:AI364"/>
    <mergeCell ref="AL355:AL364"/>
    <mergeCell ref="AM355:AM364"/>
    <mergeCell ref="H355:H364"/>
    <mergeCell ref="I355:I364"/>
    <mergeCell ref="J355:J364"/>
    <mergeCell ref="K355:K364"/>
    <mergeCell ref="N355:N364"/>
    <mergeCell ref="U355:U364"/>
    <mergeCell ref="B355:B364"/>
    <mergeCell ref="C355:C364"/>
    <mergeCell ref="D355:D364"/>
    <mergeCell ref="E355:E364"/>
    <mergeCell ref="F355:F364"/>
    <mergeCell ref="G355:G364"/>
    <mergeCell ref="AN345:AN354"/>
    <mergeCell ref="AO345:AO354"/>
    <mergeCell ref="AP345:AP354"/>
    <mergeCell ref="AQ345:AQ354"/>
    <mergeCell ref="AR345:AR354"/>
    <mergeCell ref="AS345:AS354"/>
    <mergeCell ref="V345:V354"/>
    <mergeCell ref="AD345:AD354"/>
    <mergeCell ref="AH345:AH354"/>
    <mergeCell ref="AI345:AI354"/>
    <mergeCell ref="AL345:AL354"/>
    <mergeCell ref="AM345:AM354"/>
    <mergeCell ref="H345:H354"/>
    <mergeCell ref="I345:I354"/>
    <mergeCell ref="J345:J354"/>
    <mergeCell ref="K345:K354"/>
    <mergeCell ref="N345:N354"/>
    <mergeCell ref="U345:U354"/>
    <mergeCell ref="B345:B354"/>
    <mergeCell ref="C345:C354"/>
    <mergeCell ref="D345:D354"/>
    <mergeCell ref="E345:E354"/>
    <mergeCell ref="F345:F354"/>
    <mergeCell ref="G345:G354"/>
    <mergeCell ref="AN335:AN344"/>
    <mergeCell ref="AO335:AO344"/>
    <mergeCell ref="AP335:AP344"/>
    <mergeCell ref="AQ335:AQ344"/>
    <mergeCell ref="AR335:AR344"/>
    <mergeCell ref="AS335:AS344"/>
    <mergeCell ref="V335:V344"/>
    <mergeCell ref="AD335:AD344"/>
    <mergeCell ref="AH335:AH344"/>
    <mergeCell ref="AI335:AI344"/>
    <mergeCell ref="AL335:AL344"/>
    <mergeCell ref="AM335:AM344"/>
    <mergeCell ref="H335:H344"/>
    <mergeCell ref="I335:I344"/>
    <mergeCell ref="J335:J344"/>
    <mergeCell ref="K335:K344"/>
    <mergeCell ref="N335:N344"/>
    <mergeCell ref="U335:U344"/>
    <mergeCell ref="B335:B344"/>
    <mergeCell ref="C335:C344"/>
    <mergeCell ref="D335:D344"/>
    <mergeCell ref="E335:E344"/>
    <mergeCell ref="F335:F344"/>
    <mergeCell ref="G335:G344"/>
    <mergeCell ref="AN325:AN334"/>
    <mergeCell ref="AO325:AO334"/>
    <mergeCell ref="AP325:AP334"/>
    <mergeCell ref="AQ325:AQ334"/>
    <mergeCell ref="AR325:AR334"/>
    <mergeCell ref="AS325:AS334"/>
    <mergeCell ref="V325:V334"/>
    <mergeCell ref="AD325:AD334"/>
    <mergeCell ref="AH325:AH334"/>
    <mergeCell ref="AI325:AI334"/>
    <mergeCell ref="AL325:AL334"/>
    <mergeCell ref="AM325:AM334"/>
    <mergeCell ref="H325:H334"/>
    <mergeCell ref="I325:I334"/>
    <mergeCell ref="J325:J334"/>
    <mergeCell ref="K325:K334"/>
    <mergeCell ref="N325:N334"/>
    <mergeCell ref="U325:U334"/>
    <mergeCell ref="B325:B334"/>
    <mergeCell ref="C325:C334"/>
    <mergeCell ref="D325:D334"/>
    <mergeCell ref="E325:E334"/>
    <mergeCell ref="F325:F334"/>
    <mergeCell ref="G325:G334"/>
    <mergeCell ref="AN315:AN324"/>
    <mergeCell ref="AO315:AO324"/>
    <mergeCell ref="AP315:AP324"/>
    <mergeCell ref="AQ315:AQ324"/>
    <mergeCell ref="AR315:AR324"/>
    <mergeCell ref="AS315:AS324"/>
    <mergeCell ref="V315:V324"/>
    <mergeCell ref="AD315:AD324"/>
    <mergeCell ref="AH315:AH324"/>
    <mergeCell ref="AI315:AI324"/>
    <mergeCell ref="AL315:AL324"/>
    <mergeCell ref="AM315:AM324"/>
    <mergeCell ref="H315:H324"/>
    <mergeCell ref="I315:I324"/>
    <mergeCell ref="J315:J324"/>
    <mergeCell ref="K315:K324"/>
    <mergeCell ref="N315:N324"/>
    <mergeCell ref="U315:U324"/>
    <mergeCell ref="B315:B324"/>
    <mergeCell ref="C315:C324"/>
    <mergeCell ref="D315:D324"/>
    <mergeCell ref="E315:E324"/>
    <mergeCell ref="F315:F324"/>
    <mergeCell ref="G315:G324"/>
    <mergeCell ref="AN305:AN314"/>
    <mergeCell ref="AO305:AO314"/>
    <mergeCell ref="AP305:AP314"/>
    <mergeCell ref="AQ305:AQ314"/>
    <mergeCell ref="AR305:AR314"/>
    <mergeCell ref="AS305:AS314"/>
    <mergeCell ref="V305:V314"/>
    <mergeCell ref="AD305:AD314"/>
    <mergeCell ref="AH305:AH314"/>
    <mergeCell ref="AI305:AI314"/>
    <mergeCell ref="AL305:AL314"/>
    <mergeCell ref="AM305:AM314"/>
    <mergeCell ref="H305:H314"/>
    <mergeCell ref="I305:I314"/>
    <mergeCell ref="J305:J314"/>
    <mergeCell ref="K305:K314"/>
    <mergeCell ref="N305:N314"/>
    <mergeCell ref="U305:U314"/>
    <mergeCell ref="B305:B314"/>
    <mergeCell ref="C305:C314"/>
    <mergeCell ref="D305:D314"/>
    <mergeCell ref="E305:E314"/>
    <mergeCell ref="F305:F314"/>
    <mergeCell ref="G305:G314"/>
    <mergeCell ref="AN295:AN304"/>
    <mergeCell ref="AO295:AO304"/>
    <mergeCell ref="AP295:AP304"/>
    <mergeCell ref="AQ295:AQ304"/>
    <mergeCell ref="AR295:AR304"/>
    <mergeCell ref="AS295:AS304"/>
    <mergeCell ref="V295:V304"/>
    <mergeCell ref="AD295:AD304"/>
    <mergeCell ref="AH295:AH304"/>
    <mergeCell ref="AI295:AI304"/>
    <mergeCell ref="AL295:AL304"/>
    <mergeCell ref="AM295:AM304"/>
    <mergeCell ref="H295:H304"/>
    <mergeCell ref="I295:I304"/>
    <mergeCell ref="J295:J304"/>
    <mergeCell ref="K295:K304"/>
    <mergeCell ref="N295:N304"/>
    <mergeCell ref="U295:U304"/>
    <mergeCell ref="B295:B304"/>
    <mergeCell ref="C295:C304"/>
    <mergeCell ref="D295:D304"/>
    <mergeCell ref="E295:E304"/>
    <mergeCell ref="F295:F304"/>
    <mergeCell ref="G295:G304"/>
    <mergeCell ref="AN285:AN294"/>
    <mergeCell ref="AO285:AO294"/>
    <mergeCell ref="AP285:AP294"/>
    <mergeCell ref="AQ285:AQ294"/>
    <mergeCell ref="AR285:AR294"/>
    <mergeCell ref="AS285:AS294"/>
    <mergeCell ref="V285:V294"/>
    <mergeCell ref="AD285:AD294"/>
    <mergeCell ref="AH285:AH294"/>
    <mergeCell ref="AI285:AI294"/>
    <mergeCell ref="AL285:AL294"/>
    <mergeCell ref="AM285:AM294"/>
    <mergeCell ref="H285:H294"/>
    <mergeCell ref="I285:I294"/>
    <mergeCell ref="J285:J294"/>
    <mergeCell ref="K285:K294"/>
    <mergeCell ref="N285:N294"/>
    <mergeCell ref="U285:U294"/>
    <mergeCell ref="B285:B294"/>
    <mergeCell ref="C285:C294"/>
    <mergeCell ref="D285:D294"/>
    <mergeCell ref="E285:E294"/>
    <mergeCell ref="F285:F294"/>
    <mergeCell ref="G285:G294"/>
    <mergeCell ref="AN275:AN284"/>
    <mergeCell ref="AO275:AO284"/>
    <mergeCell ref="AP275:AP284"/>
    <mergeCell ref="AQ275:AQ284"/>
    <mergeCell ref="AR275:AR284"/>
    <mergeCell ref="AS275:AS284"/>
    <mergeCell ref="V275:V284"/>
    <mergeCell ref="AD275:AD284"/>
    <mergeCell ref="AH275:AH284"/>
    <mergeCell ref="AI275:AI284"/>
    <mergeCell ref="AL275:AL284"/>
    <mergeCell ref="AM275:AM284"/>
    <mergeCell ref="H275:H284"/>
    <mergeCell ref="I275:I284"/>
    <mergeCell ref="J275:J284"/>
    <mergeCell ref="K275:K284"/>
    <mergeCell ref="N275:N284"/>
    <mergeCell ref="U275:U284"/>
    <mergeCell ref="B275:B284"/>
    <mergeCell ref="C275:C284"/>
    <mergeCell ref="D275:D284"/>
    <mergeCell ref="E275:E284"/>
    <mergeCell ref="F275:F284"/>
    <mergeCell ref="G275:G284"/>
    <mergeCell ref="AN265:AN274"/>
    <mergeCell ref="AO265:AO274"/>
    <mergeCell ref="AP265:AP274"/>
    <mergeCell ref="AQ265:AQ274"/>
    <mergeCell ref="AR265:AR274"/>
    <mergeCell ref="AS265:AS274"/>
    <mergeCell ref="V265:V274"/>
    <mergeCell ref="AD265:AD274"/>
    <mergeCell ref="AH265:AH274"/>
    <mergeCell ref="AI265:AI274"/>
    <mergeCell ref="AL265:AL274"/>
    <mergeCell ref="AM265:AM274"/>
    <mergeCell ref="H265:H274"/>
    <mergeCell ref="I265:I274"/>
    <mergeCell ref="J265:J274"/>
    <mergeCell ref="K265:K274"/>
    <mergeCell ref="N265:N274"/>
    <mergeCell ref="U265:U274"/>
    <mergeCell ref="B265:B274"/>
    <mergeCell ref="C265:C274"/>
    <mergeCell ref="D265:D274"/>
    <mergeCell ref="E265:E274"/>
    <mergeCell ref="F265:F274"/>
    <mergeCell ref="G265:G274"/>
    <mergeCell ref="AN255:AN264"/>
    <mergeCell ref="AO255:AO264"/>
    <mergeCell ref="AP255:AP264"/>
    <mergeCell ref="AQ255:AQ264"/>
    <mergeCell ref="AR255:AR264"/>
    <mergeCell ref="AS255:AS264"/>
    <mergeCell ref="V255:V264"/>
    <mergeCell ref="AD255:AD264"/>
    <mergeCell ref="AH255:AH264"/>
    <mergeCell ref="AI255:AI264"/>
    <mergeCell ref="AL255:AL264"/>
    <mergeCell ref="AM255:AM264"/>
    <mergeCell ref="H255:H264"/>
    <mergeCell ref="I255:I264"/>
    <mergeCell ref="J255:J264"/>
    <mergeCell ref="K255:K264"/>
    <mergeCell ref="N255:N264"/>
    <mergeCell ref="U255:U264"/>
    <mergeCell ref="B255:B264"/>
    <mergeCell ref="C255:C264"/>
    <mergeCell ref="D255:D264"/>
    <mergeCell ref="E255:E264"/>
    <mergeCell ref="F255:F264"/>
    <mergeCell ref="G255:G264"/>
    <mergeCell ref="AN245:AN254"/>
    <mergeCell ref="AO245:AO254"/>
    <mergeCell ref="AP245:AP254"/>
    <mergeCell ref="AQ245:AQ254"/>
    <mergeCell ref="AR245:AR254"/>
    <mergeCell ref="AS245:AS254"/>
    <mergeCell ref="V245:V254"/>
    <mergeCell ref="AD245:AD254"/>
    <mergeCell ref="AH245:AH254"/>
    <mergeCell ref="AI245:AI254"/>
    <mergeCell ref="AL245:AL254"/>
    <mergeCell ref="AM245:AM254"/>
    <mergeCell ref="H245:H254"/>
    <mergeCell ref="I245:I254"/>
    <mergeCell ref="J245:J254"/>
    <mergeCell ref="K245:K254"/>
    <mergeCell ref="N245:N254"/>
    <mergeCell ref="U245:U254"/>
    <mergeCell ref="B245:B254"/>
    <mergeCell ref="C245:C254"/>
    <mergeCell ref="D245:D254"/>
    <mergeCell ref="E245:E254"/>
    <mergeCell ref="F245:F254"/>
    <mergeCell ref="G245:G254"/>
    <mergeCell ref="AN235:AN244"/>
    <mergeCell ref="AO235:AO244"/>
    <mergeCell ref="AP235:AP244"/>
    <mergeCell ref="AQ235:AQ244"/>
    <mergeCell ref="AR235:AR244"/>
    <mergeCell ref="AS235:AS244"/>
    <mergeCell ref="V235:V244"/>
    <mergeCell ref="AD235:AD244"/>
    <mergeCell ref="AH235:AH244"/>
    <mergeCell ref="AI235:AI244"/>
    <mergeCell ref="AL235:AL244"/>
    <mergeCell ref="AM235:AM244"/>
    <mergeCell ref="H235:H244"/>
    <mergeCell ref="I235:I244"/>
    <mergeCell ref="J235:J244"/>
    <mergeCell ref="K235:K244"/>
    <mergeCell ref="N235:N244"/>
    <mergeCell ref="U235:U244"/>
    <mergeCell ref="B235:B244"/>
    <mergeCell ref="C235:C244"/>
    <mergeCell ref="D235:D244"/>
    <mergeCell ref="E235:E244"/>
    <mergeCell ref="F235:F244"/>
    <mergeCell ref="G235:G244"/>
    <mergeCell ref="AN225:AN234"/>
    <mergeCell ref="AO225:AO234"/>
    <mergeCell ref="AP225:AP234"/>
    <mergeCell ref="AQ225:AQ234"/>
    <mergeCell ref="AR225:AR234"/>
    <mergeCell ref="AS225:AS234"/>
    <mergeCell ref="V225:V234"/>
    <mergeCell ref="AD225:AD234"/>
    <mergeCell ref="AH225:AH234"/>
    <mergeCell ref="AI225:AI234"/>
    <mergeCell ref="AL225:AL234"/>
    <mergeCell ref="AM225:AM234"/>
    <mergeCell ref="H225:H234"/>
    <mergeCell ref="I225:I234"/>
    <mergeCell ref="J225:J234"/>
    <mergeCell ref="K225:K234"/>
    <mergeCell ref="N225:N234"/>
    <mergeCell ref="U225:U234"/>
    <mergeCell ref="B225:B234"/>
    <mergeCell ref="C225:C234"/>
    <mergeCell ref="D225:D234"/>
    <mergeCell ref="E225:E234"/>
    <mergeCell ref="F225:F234"/>
    <mergeCell ref="G225:G234"/>
    <mergeCell ref="AN215:AN224"/>
    <mergeCell ref="AO215:AO224"/>
    <mergeCell ref="AP215:AP224"/>
    <mergeCell ref="AQ215:AQ224"/>
    <mergeCell ref="AR215:AR224"/>
    <mergeCell ref="AS215:AS224"/>
    <mergeCell ref="V215:V224"/>
    <mergeCell ref="AD215:AD224"/>
    <mergeCell ref="AH215:AH224"/>
    <mergeCell ref="AI215:AI224"/>
    <mergeCell ref="AL215:AL224"/>
    <mergeCell ref="AM215:AM224"/>
    <mergeCell ref="H215:H224"/>
    <mergeCell ref="I215:I224"/>
    <mergeCell ref="J215:J224"/>
    <mergeCell ref="K215:K224"/>
    <mergeCell ref="N215:N224"/>
    <mergeCell ref="U215:U224"/>
    <mergeCell ref="B215:B224"/>
    <mergeCell ref="C215:C224"/>
    <mergeCell ref="D215:D224"/>
    <mergeCell ref="E215:E224"/>
    <mergeCell ref="F215:F224"/>
    <mergeCell ref="G215:G224"/>
    <mergeCell ref="AN205:AN214"/>
    <mergeCell ref="AO205:AO214"/>
    <mergeCell ref="AP205:AP214"/>
    <mergeCell ref="AQ205:AQ214"/>
    <mergeCell ref="AR205:AR214"/>
    <mergeCell ref="AS205:AS214"/>
    <mergeCell ref="V205:V214"/>
    <mergeCell ref="AD205:AD214"/>
    <mergeCell ref="AH205:AH214"/>
    <mergeCell ref="AI205:AI214"/>
    <mergeCell ref="AL205:AL214"/>
    <mergeCell ref="AM205:AM214"/>
    <mergeCell ref="H205:H214"/>
    <mergeCell ref="I205:I214"/>
    <mergeCell ref="J205:J214"/>
    <mergeCell ref="K205:K214"/>
    <mergeCell ref="N205:N214"/>
    <mergeCell ref="U205:U214"/>
    <mergeCell ref="B205:B214"/>
    <mergeCell ref="C205:C214"/>
    <mergeCell ref="D205:D214"/>
    <mergeCell ref="E205:E214"/>
    <mergeCell ref="F205:F214"/>
    <mergeCell ref="G205:G214"/>
    <mergeCell ref="AN195:AN204"/>
    <mergeCell ref="AO195:AO204"/>
    <mergeCell ref="AP195:AP204"/>
    <mergeCell ref="AQ195:AQ204"/>
    <mergeCell ref="AR195:AR204"/>
    <mergeCell ref="AS195:AS204"/>
    <mergeCell ref="V195:V204"/>
    <mergeCell ref="AD195:AD204"/>
    <mergeCell ref="AH195:AH204"/>
    <mergeCell ref="AI195:AI204"/>
    <mergeCell ref="AL195:AL204"/>
    <mergeCell ref="AM195:AM204"/>
    <mergeCell ref="H195:H204"/>
    <mergeCell ref="I195:I204"/>
    <mergeCell ref="J195:J204"/>
    <mergeCell ref="K195:K204"/>
    <mergeCell ref="N195:N204"/>
    <mergeCell ref="U195:U204"/>
    <mergeCell ref="B195:B204"/>
    <mergeCell ref="C195:C204"/>
    <mergeCell ref="D195:D204"/>
    <mergeCell ref="E195:E204"/>
    <mergeCell ref="F195:F204"/>
    <mergeCell ref="G195:G204"/>
    <mergeCell ref="AN185:AN194"/>
    <mergeCell ref="AO185:AO194"/>
    <mergeCell ref="AP185:AP194"/>
    <mergeCell ref="AQ185:AQ194"/>
    <mergeCell ref="AR185:AR194"/>
    <mergeCell ref="AS185:AS194"/>
    <mergeCell ref="V185:V194"/>
    <mergeCell ref="AD185:AD194"/>
    <mergeCell ref="AH185:AH194"/>
    <mergeCell ref="AI185:AI194"/>
    <mergeCell ref="AL185:AL194"/>
    <mergeCell ref="AM185:AM194"/>
    <mergeCell ref="H185:H194"/>
    <mergeCell ref="I185:I194"/>
    <mergeCell ref="J185:J194"/>
    <mergeCell ref="K185:K194"/>
    <mergeCell ref="N185:N194"/>
    <mergeCell ref="U185:U194"/>
    <mergeCell ref="B185:B194"/>
    <mergeCell ref="C185:C194"/>
    <mergeCell ref="D185:D194"/>
    <mergeCell ref="E185:E194"/>
    <mergeCell ref="F185:F194"/>
    <mergeCell ref="G185:G194"/>
    <mergeCell ref="AN175:AN184"/>
    <mergeCell ref="AO175:AO184"/>
    <mergeCell ref="AP175:AP184"/>
    <mergeCell ref="AQ175:AQ184"/>
    <mergeCell ref="AR175:AR184"/>
    <mergeCell ref="AS175:AS184"/>
    <mergeCell ref="V175:V184"/>
    <mergeCell ref="AD175:AD184"/>
    <mergeCell ref="AH175:AH184"/>
    <mergeCell ref="AI175:AI184"/>
    <mergeCell ref="AL175:AL184"/>
    <mergeCell ref="AM175:AM184"/>
    <mergeCell ref="H175:H184"/>
    <mergeCell ref="I175:I184"/>
    <mergeCell ref="J175:J184"/>
    <mergeCell ref="K175:K184"/>
    <mergeCell ref="N175:N184"/>
    <mergeCell ref="U175:U184"/>
    <mergeCell ref="B175:B184"/>
    <mergeCell ref="C175:C184"/>
    <mergeCell ref="D175:D184"/>
    <mergeCell ref="E175:E184"/>
    <mergeCell ref="F175:F184"/>
    <mergeCell ref="G175:G184"/>
    <mergeCell ref="AN165:AN174"/>
    <mergeCell ref="AO165:AO174"/>
    <mergeCell ref="AP165:AP174"/>
    <mergeCell ref="AQ165:AQ174"/>
    <mergeCell ref="AR165:AR174"/>
    <mergeCell ref="AS165:AS174"/>
    <mergeCell ref="V165:V174"/>
    <mergeCell ref="AD165:AD174"/>
    <mergeCell ref="AH165:AH174"/>
    <mergeCell ref="AI165:AI174"/>
    <mergeCell ref="AL165:AL174"/>
    <mergeCell ref="AM165:AM174"/>
    <mergeCell ref="H165:H174"/>
    <mergeCell ref="I165:I174"/>
    <mergeCell ref="J165:J174"/>
    <mergeCell ref="K165:K174"/>
    <mergeCell ref="N165:N174"/>
    <mergeCell ref="U165:U174"/>
    <mergeCell ref="B165:B174"/>
    <mergeCell ref="C165:C174"/>
    <mergeCell ref="D165:D174"/>
    <mergeCell ref="E165:E174"/>
    <mergeCell ref="F165:F174"/>
    <mergeCell ref="G165:G174"/>
    <mergeCell ref="AN155:AN164"/>
    <mergeCell ref="AO155:AO164"/>
    <mergeCell ref="AP155:AP164"/>
    <mergeCell ref="AQ155:AQ164"/>
    <mergeCell ref="AR155:AR164"/>
    <mergeCell ref="AS155:AS164"/>
    <mergeCell ref="V155:V164"/>
    <mergeCell ref="AD155:AD164"/>
    <mergeCell ref="AH155:AH164"/>
    <mergeCell ref="AI155:AI164"/>
    <mergeCell ref="AL155:AL164"/>
    <mergeCell ref="AM155:AM164"/>
    <mergeCell ref="H155:H164"/>
    <mergeCell ref="I155:I164"/>
    <mergeCell ref="J155:J164"/>
    <mergeCell ref="K155:K164"/>
    <mergeCell ref="N155:N164"/>
    <mergeCell ref="U155:U164"/>
    <mergeCell ref="B155:B164"/>
    <mergeCell ref="C155:C164"/>
    <mergeCell ref="D155:D164"/>
    <mergeCell ref="E155:E164"/>
    <mergeCell ref="F155:F164"/>
    <mergeCell ref="G155:G164"/>
    <mergeCell ref="AN145:AN154"/>
    <mergeCell ref="AO145:AO154"/>
    <mergeCell ref="AP145:AP154"/>
    <mergeCell ref="AQ145:AQ154"/>
    <mergeCell ref="AR145:AR154"/>
    <mergeCell ref="AS145:AS154"/>
    <mergeCell ref="V145:V154"/>
    <mergeCell ref="AD145:AD154"/>
    <mergeCell ref="AH145:AH154"/>
    <mergeCell ref="AI145:AI154"/>
    <mergeCell ref="AL145:AL154"/>
    <mergeCell ref="AM145:AM154"/>
    <mergeCell ref="H145:H154"/>
    <mergeCell ref="I145:I154"/>
    <mergeCell ref="J145:J154"/>
    <mergeCell ref="K145:K154"/>
    <mergeCell ref="N145:N154"/>
    <mergeCell ref="U145:U154"/>
    <mergeCell ref="B145:B154"/>
    <mergeCell ref="C145:C154"/>
    <mergeCell ref="D145:D154"/>
    <mergeCell ref="E145:E154"/>
    <mergeCell ref="F145:F154"/>
    <mergeCell ref="G145:G154"/>
    <mergeCell ref="AN135:AN144"/>
    <mergeCell ref="AO135:AO144"/>
    <mergeCell ref="AP135:AP144"/>
    <mergeCell ref="AQ135:AQ144"/>
    <mergeCell ref="AR135:AR144"/>
    <mergeCell ref="AS135:AS144"/>
    <mergeCell ref="V135:V144"/>
    <mergeCell ref="AD135:AD144"/>
    <mergeCell ref="AH135:AH144"/>
    <mergeCell ref="AI135:AI144"/>
    <mergeCell ref="AL135:AL144"/>
    <mergeCell ref="AM135:AM144"/>
    <mergeCell ref="H135:H144"/>
    <mergeCell ref="I135:I144"/>
    <mergeCell ref="J135:J144"/>
    <mergeCell ref="K135:K144"/>
    <mergeCell ref="N135:N144"/>
    <mergeCell ref="U135:U144"/>
    <mergeCell ref="B135:B144"/>
    <mergeCell ref="C135:C144"/>
    <mergeCell ref="D135:D144"/>
    <mergeCell ref="E135:E144"/>
    <mergeCell ref="F135:F144"/>
    <mergeCell ref="G135:G144"/>
    <mergeCell ref="AN125:AN134"/>
    <mergeCell ref="AO125:AO134"/>
    <mergeCell ref="AP125:AP134"/>
    <mergeCell ref="AQ125:AQ134"/>
    <mergeCell ref="AR125:AR134"/>
    <mergeCell ref="AS125:AS134"/>
    <mergeCell ref="V125:V134"/>
    <mergeCell ref="AD125:AD134"/>
    <mergeCell ref="AH125:AH134"/>
    <mergeCell ref="AI125:AI134"/>
    <mergeCell ref="AL125:AL134"/>
    <mergeCell ref="AM125:AM134"/>
    <mergeCell ref="H125:H134"/>
    <mergeCell ref="I125:I134"/>
    <mergeCell ref="J125:J134"/>
    <mergeCell ref="K125:K134"/>
    <mergeCell ref="N125:N134"/>
    <mergeCell ref="U125:U134"/>
    <mergeCell ref="B125:B134"/>
    <mergeCell ref="C125:C134"/>
    <mergeCell ref="D125:D134"/>
    <mergeCell ref="E125:E134"/>
    <mergeCell ref="F125:F134"/>
    <mergeCell ref="G125:G134"/>
    <mergeCell ref="AN115:AN124"/>
    <mergeCell ref="AO115:AO124"/>
    <mergeCell ref="AP115:AP124"/>
    <mergeCell ref="AQ115:AQ124"/>
    <mergeCell ref="AR115:AR124"/>
    <mergeCell ref="AS115:AS124"/>
    <mergeCell ref="V115:V124"/>
    <mergeCell ref="AD115:AD124"/>
    <mergeCell ref="AH115:AH124"/>
    <mergeCell ref="AI115:AI124"/>
    <mergeCell ref="AL115:AL124"/>
    <mergeCell ref="AM115:AM124"/>
    <mergeCell ref="H115:H124"/>
    <mergeCell ref="I115:I124"/>
    <mergeCell ref="J115:J124"/>
    <mergeCell ref="K115:K124"/>
    <mergeCell ref="N115:N124"/>
    <mergeCell ref="U115:U124"/>
    <mergeCell ref="B115:B124"/>
    <mergeCell ref="C115:C124"/>
    <mergeCell ref="D115:D124"/>
    <mergeCell ref="E115:E124"/>
    <mergeCell ref="F115:F124"/>
    <mergeCell ref="G115:G124"/>
    <mergeCell ref="AN105:AN114"/>
    <mergeCell ref="AO105:AO114"/>
    <mergeCell ref="AP105:AP114"/>
    <mergeCell ref="AQ105:AQ114"/>
    <mergeCell ref="AR105:AR114"/>
    <mergeCell ref="AS105:AS114"/>
    <mergeCell ref="V105:V114"/>
    <mergeCell ref="AD105:AD114"/>
    <mergeCell ref="AH105:AH114"/>
    <mergeCell ref="AI105:AI114"/>
    <mergeCell ref="AL105:AL114"/>
    <mergeCell ref="AM105:AM114"/>
    <mergeCell ref="H105:H114"/>
    <mergeCell ref="I105:I114"/>
    <mergeCell ref="J105:J114"/>
    <mergeCell ref="K105:K114"/>
    <mergeCell ref="N105:N114"/>
    <mergeCell ref="U105:U114"/>
    <mergeCell ref="B105:B114"/>
    <mergeCell ref="C105:C114"/>
    <mergeCell ref="D105:D114"/>
    <mergeCell ref="E105:E114"/>
    <mergeCell ref="F105:F114"/>
    <mergeCell ref="G105:G114"/>
    <mergeCell ref="AN95:AN104"/>
    <mergeCell ref="AO95:AO104"/>
    <mergeCell ref="AP95:AP104"/>
    <mergeCell ref="AQ95:AQ104"/>
    <mergeCell ref="AR95:AR104"/>
    <mergeCell ref="AS95:AS104"/>
    <mergeCell ref="V95:V104"/>
    <mergeCell ref="AD95:AD104"/>
    <mergeCell ref="AH95:AH104"/>
    <mergeCell ref="AI95:AI104"/>
    <mergeCell ref="AL95:AL104"/>
    <mergeCell ref="AM95:AM104"/>
    <mergeCell ref="H95:H104"/>
    <mergeCell ref="I95:I104"/>
    <mergeCell ref="J95:J104"/>
    <mergeCell ref="K95:K104"/>
    <mergeCell ref="N95:N104"/>
    <mergeCell ref="U95:U104"/>
    <mergeCell ref="B95:B104"/>
    <mergeCell ref="C95:C104"/>
    <mergeCell ref="D95:D104"/>
    <mergeCell ref="E95:E104"/>
    <mergeCell ref="F95:F104"/>
    <mergeCell ref="G95:G104"/>
    <mergeCell ref="AN85:AN94"/>
    <mergeCell ref="AO85:AO94"/>
    <mergeCell ref="AP85:AP94"/>
    <mergeCell ref="AQ85:AQ94"/>
    <mergeCell ref="AR85:AR94"/>
    <mergeCell ref="AS85:AS94"/>
    <mergeCell ref="V85:V94"/>
    <mergeCell ref="AD85:AD94"/>
    <mergeCell ref="AH85:AH94"/>
    <mergeCell ref="AI85:AI94"/>
    <mergeCell ref="AL85:AL94"/>
    <mergeCell ref="AM85:AM94"/>
    <mergeCell ref="H85:H94"/>
    <mergeCell ref="I85:I94"/>
    <mergeCell ref="J85:J94"/>
    <mergeCell ref="K85:K94"/>
    <mergeCell ref="N85:N94"/>
    <mergeCell ref="U85:U94"/>
    <mergeCell ref="B85:B94"/>
    <mergeCell ref="C85:C94"/>
    <mergeCell ref="D85:D94"/>
    <mergeCell ref="E85:E94"/>
    <mergeCell ref="F85:F94"/>
    <mergeCell ref="G85:G94"/>
    <mergeCell ref="AN75:AN84"/>
    <mergeCell ref="AO75:AO84"/>
    <mergeCell ref="AP75:AP84"/>
    <mergeCell ref="AQ75:AQ84"/>
    <mergeCell ref="AR75:AR84"/>
    <mergeCell ref="AS75:AS84"/>
    <mergeCell ref="V75:V84"/>
    <mergeCell ref="AD75:AD84"/>
    <mergeCell ref="AH75:AH84"/>
    <mergeCell ref="AI75:AI84"/>
    <mergeCell ref="AL75:AL84"/>
    <mergeCell ref="AM75:AM84"/>
    <mergeCell ref="H75:H84"/>
    <mergeCell ref="I75:I84"/>
    <mergeCell ref="J75:J84"/>
    <mergeCell ref="K75:K84"/>
    <mergeCell ref="N75:N84"/>
    <mergeCell ref="U75:U84"/>
    <mergeCell ref="B75:B84"/>
    <mergeCell ref="C75:C84"/>
    <mergeCell ref="D75:D84"/>
    <mergeCell ref="E75:E84"/>
    <mergeCell ref="F75:F84"/>
    <mergeCell ref="G75:G84"/>
    <mergeCell ref="AN65:AN74"/>
    <mergeCell ref="AO65:AO74"/>
    <mergeCell ref="AP65:AP74"/>
    <mergeCell ref="AQ65:AQ74"/>
    <mergeCell ref="AR65:AR74"/>
    <mergeCell ref="AS65:AS74"/>
    <mergeCell ref="V65:V74"/>
    <mergeCell ref="AD65:AD74"/>
    <mergeCell ref="AH65:AH74"/>
    <mergeCell ref="AI65:AI74"/>
    <mergeCell ref="AL65:AL74"/>
    <mergeCell ref="AM65:AM74"/>
    <mergeCell ref="H65:H74"/>
    <mergeCell ref="I65:I74"/>
    <mergeCell ref="J65:J74"/>
    <mergeCell ref="K65:K74"/>
    <mergeCell ref="N65:N74"/>
    <mergeCell ref="U65:U74"/>
    <mergeCell ref="B65:B74"/>
    <mergeCell ref="C65:C74"/>
    <mergeCell ref="D65:D74"/>
    <mergeCell ref="E65:E74"/>
    <mergeCell ref="F65:F74"/>
    <mergeCell ref="G65:G74"/>
    <mergeCell ref="AN55:AN64"/>
    <mergeCell ref="AO55:AO64"/>
    <mergeCell ref="AP55:AP64"/>
    <mergeCell ref="AQ55:AQ64"/>
    <mergeCell ref="AR55:AR64"/>
    <mergeCell ref="AS55:AS64"/>
    <mergeCell ref="V55:V64"/>
    <mergeCell ref="AD55:AD64"/>
    <mergeCell ref="AH55:AH64"/>
    <mergeCell ref="AI55:AI64"/>
    <mergeCell ref="AL55:AL64"/>
    <mergeCell ref="AM55:AM64"/>
    <mergeCell ref="H55:H64"/>
    <mergeCell ref="I55:I64"/>
    <mergeCell ref="J55:J64"/>
    <mergeCell ref="K55:K64"/>
    <mergeCell ref="N55:N64"/>
    <mergeCell ref="U55:U64"/>
    <mergeCell ref="B55:B64"/>
    <mergeCell ref="C55:C64"/>
    <mergeCell ref="D55:D64"/>
    <mergeCell ref="E55:E64"/>
    <mergeCell ref="F55:F64"/>
    <mergeCell ref="G55:G64"/>
    <mergeCell ref="AN45:AN54"/>
    <mergeCell ref="AO45:AO54"/>
    <mergeCell ref="AP45:AP54"/>
    <mergeCell ref="AQ45:AQ54"/>
    <mergeCell ref="AR45:AR54"/>
    <mergeCell ref="AS45:AS54"/>
    <mergeCell ref="V45:V54"/>
    <mergeCell ref="AD45:AD54"/>
    <mergeCell ref="AH45:AH54"/>
    <mergeCell ref="AI45:AI54"/>
    <mergeCell ref="AL45:AL54"/>
    <mergeCell ref="AM45:AM54"/>
    <mergeCell ref="H45:H54"/>
    <mergeCell ref="I45:I54"/>
    <mergeCell ref="J45:J54"/>
    <mergeCell ref="K45:K54"/>
    <mergeCell ref="N45:N54"/>
    <mergeCell ref="U45:U54"/>
    <mergeCell ref="B45:B54"/>
    <mergeCell ref="C45:C54"/>
    <mergeCell ref="D45:D54"/>
    <mergeCell ref="E45:E54"/>
    <mergeCell ref="F45:F54"/>
    <mergeCell ref="G45:G54"/>
    <mergeCell ref="AN35:AN44"/>
    <mergeCell ref="AO35:AO44"/>
    <mergeCell ref="AP35:AP44"/>
    <mergeCell ref="AQ35:AQ44"/>
    <mergeCell ref="AR35:AR44"/>
    <mergeCell ref="AS35:AS44"/>
    <mergeCell ref="V35:V44"/>
    <mergeCell ref="AD35:AD44"/>
    <mergeCell ref="AH35:AH44"/>
    <mergeCell ref="AI35:AI44"/>
    <mergeCell ref="AL35:AL44"/>
    <mergeCell ref="AM35:AM44"/>
    <mergeCell ref="H35:H44"/>
    <mergeCell ref="I35:I44"/>
    <mergeCell ref="J35:J44"/>
    <mergeCell ref="K35:K44"/>
    <mergeCell ref="N35:N44"/>
    <mergeCell ref="U35:U44"/>
    <mergeCell ref="B35:B44"/>
    <mergeCell ref="C35:C44"/>
    <mergeCell ref="D35:D44"/>
    <mergeCell ref="E35:E44"/>
    <mergeCell ref="F35:F44"/>
    <mergeCell ref="G35:G44"/>
    <mergeCell ref="B25:B34"/>
    <mergeCell ref="C25:C34"/>
    <mergeCell ref="D25:D34"/>
    <mergeCell ref="E25:E34"/>
    <mergeCell ref="F25:F34"/>
    <mergeCell ref="G25:G34"/>
    <mergeCell ref="AN25:AN34"/>
    <mergeCell ref="AO25:AO34"/>
    <mergeCell ref="AP25:AP34"/>
    <mergeCell ref="V25:V34"/>
    <mergeCell ref="AD25:AD34"/>
    <mergeCell ref="AH25:AH34"/>
    <mergeCell ref="AI25:AI34"/>
    <mergeCell ref="AL25:AL34"/>
    <mergeCell ref="AM25:AM34"/>
    <mergeCell ref="AR15:AR24"/>
    <mergeCell ref="AS15:AS24"/>
    <mergeCell ref="V15:V24"/>
    <mergeCell ref="AD15:AD24"/>
    <mergeCell ref="AH15:AH24"/>
    <mergeCell ref="AI15:AI24"/>
    <mergeCell ref="AL15:AL24"/>
    <mergeCell ref="AM15:AM24"/>
    <mergeCell ref="H25:H34"/>
    <mergeCell ref="I25:I34"/>
    <mergeCell ref="J25:J34"/>
    <mergeCell ref="K25:K34"/>
    <mergeCell ref="N25:N34"/>
    <mergeCell ref="U25:U34"/>
    <mergeCell ref="AQ25:AQ34"/>
    <mergeCell ref="AR25:AR34"/>
    <mergeCell ref="AS25:AS34"/>
    <mergeCell ref="H15:H24"/>
    <mergeCell ref="I15:I24"/>
    <mergeCell ref="J15:J24"/>
    <mergeCell ref="K15:K24"/>
    <mergeCell ref="N15:N24"/>
    <mergeCell ref="U15:U24"/>
    <mergeCell ref="AN15:AN24"/>
    <mergeCell ref="AL13:AM13"/>
    <mergeCell ref="AN13:AO13"/>
    <mergeCell ref="AP13:AQ13"/>
    <mergeCell ref="X13:X14"/>
    <mergeCell ref="H13:H14"/>
    <mergeCell ref="I13:J13"/>
    <mergeCell ref="K13:K14"/>
    <mergeCell ref="L13:L14"/>
    <mergeCell ref="M13:M14"/>
    <mergeCell ref="N13:N14"/>
    <mergeCell ref="U13:U14"/>
    <mergeCell ref="V13:V14"/>
    <mergeCell ref="W13:W14"/>
    <mergeCell ref="AO15:AO24"/>
    <mergeCell ref="AP15:AP24"/>
    <mergeCell ref="AQ15:AQ24"/>
    <mergeCell ref="AR13:AS13"/>
    <mergeCell ref="B15:B24"/>
    <mergeCell ref="C15:C24"/>
    <mergeCell ref="D15:D24"/>
    <mergeCell ref="E15:E24"/>
    <mergeCell ref="F15:F24"/>
    <mergeCell ref="G15:G24"/>
    <mergeCell ref="AE13:AE14"/>
    <mergeCell ref="AF13:AF14"/>
    <mergeCell ref="AG13:AG14"/>
    <mergeCell ref="AH13:AH14"/>
    <mergeCell ref="AI13:AI14"/>
    <mergeCell ref="AJ13:AJ14"/>
    <mergeCell ref="Y13:Y14"/>
    <mergeCell ref="Z13:Z14"/>
    <mergeCell ref="AA13:AA14"/>
    <mergeCell ref="AB13:AB14"/>
    <mergeCell ref="AC13:AC14"/>
    <mergeCell ref="AD13:AD14"/>
    <mergeCell ref="O13:O14"/>
    <mergeCell ref="P13:P14"/>
    <mergeCell ref="B13:B14"/>
    <mergeCell ref="C13:C14"/>
    <mergeCell ref="D13:D14"/>
    <mergeCell ref="E13:E14"/>
    <mergeCell ref="F13:F14"/>
    <mergeCell ref="G13:G14"/>
    <mergeCell ref="AE2:AG2"/>
    <mergeCell ref="AI2:AJ2"/>
    <mergeCell ref="F3:H3"/>
    <mergeCell ref="I3:K3"/>
    <mergeCell ref="O3:P3"/>
    <mergeCell ref="U3:V3"/>
    <mergeCell ref="AB3:AC3"/>
    <mergeCell ref="AE3:AG3"/>
    <mergeCell ref="AI3:AJ3"/>
    <mergeCell ref="F2:H2"/>
    <mergeCell ref="I2:K2"/>
    <mergeCell ref="O2:P2"/>
    <mergeCell ref="U2:W2"/>
    <mergeCell ref="X2:Z2"/>
    <mergeCell ref="AB2:AC2"/>
  </mergeCells>
  <phoneticPr fontId="3"/>
  <conditionalFormatting sqref="T108:T109 T337:T338 T38:T39 T357:T358 T397:T398 T15:T18">
    <cfRule type="expression" dxfId="146" priority="129" stopIfTrue="1">
      <formula>WEEKDAY($B10,1)=6</formula>
    </cfRule>
    <cfRule type="expression" dxfId="145" priority="130" stopIfTrue="1">
      <formula>WEEKDAY($B10,1)=7</formula>
    </cfRule>
    <cfRule type="expression" dxfId="144" priority="131" stopIfTrue="1">
      <formula>$E15&lt;&gt;""</formula>
    </cfRule>
  </conditionalFormatting>
  <conditionalFormatting sqref="T113 T342 T43 T362 T22 T402">
    <cfRule type="expression" dxfId="143" priority="126" stopIfTrue="1">
      <formula>WEEKDAY($B13,1)=6</formula>
    </cfRule>
    <cfRule type="expression" dxfId="142" priority="127" stopIfTrue="1">
      <formula>WEEKDAY($B13,1)=7</formula>
    </cfRule>
    <cfRule type="expression" dxfId="141" priority="128" stopIfTrue="1">
      <formula>$E22&lt;&gt;""</formula>
    </cfRule>
  </conditionalFormatting>
  <conditionalFormatting sqref="T112 T341 T42 T361 T21 T401">
    <cfRule type="expression" dxfId="140" priority="123" stopIfTrue="1">
      <formula>WEEKDAY($B13,1)=6</formula>
    </cfRule>
    <cfRule type="expression" dxfId="139" priority="124" stopIfTrue="1">
      <formula>WEEKDAY($B13,1)=7</formula>
    </cfRule>
    <cfRule type="expression" dxfId="138" priority="125" stopIfTrue="1">
      <formula>$E21&lt;&gt;""</formula>
    </cfRule>
  </conditionalFormatting>
  <conditionalFormatting sqref="T111 T340 T41 T360 T20 T400">
    <cfRule type="expression" dxfId="137" priority="120" stopIfTrue="1">
      <formula>WEEKDAY($B13,1)=6</formula>
    </cfRule>
    <cfRule type="expression" dxfId="136" priority="121" stopIfTrue="1">
      <formula>WEEKDAY($B13,1)=7</formula>
    </cfRule>
    <cfRule type="expression" dxfId="135" priority="122" stopIfTrue="1">
      <formula>$E20&lt;&gt;""</formula>
    </cfRule>
  </conditionalFormatting>
  <conditionalFormatting sqref="T110 T339 T40 T359 T19 T399">
    <cfRule type="expression" dxfId="134" priority="117" stopIfTrue="1">
      <formula>WEEKDAY($B13,1)=6</formula>
    </cfRule>
    <cfRule type="expression" dxfId="133" priority="118" stopIfTrue="1">
      <formula>WEEKDAY($B13,1)=7</formula>
    </cfRule>
    <cfRule type="expression" dxfId="132" priority="119" stopIfTrue="1">
      <formula>$E19&lt;&gt;""</formula>
    </cfRule>
  </conditionalFormatting>
  <conditionalFormatting sqref="T32 T212 T52 T381 T62 T252 T72 T372 T82 T222 T92 T351 T102 T282 T122 T331 T132 T232 T142 T322 T152 T262 T162 T312 T172 T242 T182 T302 T192 T272 T202 T292 T391">
    <cfRule type="expression" dxfId="131" priority="114" stopIfTrue="1">
      <formula>WEEKDAY($B18,1)=6</formula>
    </cfRule>
    <cfRule type="expression" dxfId="130" priority="115" stopIfTrue="1">
      <formula>WEEKDAY($B18,1)=7</formula>
    </cfRule>
    <cfRule type="expression" dxfId="129" priority="116" stopIfTrue="1">
      <formula>$E32&lt;&gt;""</formula>
    </cfRule>
  </conditionalFormatting>
  <conditionalFormatting sqref="T31 T211 T51 T380 T61 T251 T71 T371 T81 T221 T91 T350 T101 T281 T121 T330 T131 T231 T141 T321 T151 T261 T161 T311 T171 T241 T181 T301 T191 T271 T201 T291 T390">
    <cfRule type="expression" dxfId="128" priority="111" stopIfTrue="1">
      <formula>WEEKDAY($B18,1)=6</formula>
    </cfRule>
    <cfRule type="expression" dxfId="127" priority="112" stopIfTrue="1">
      <formula>WEEKDAY($B18,1)=7</formula>
    </cfRule>
    <cfRule type="expression" dxfId="126" priority="113" stopIfTrue="1">
      <formula>$E31&lt;&gt;""</formula>
    </cfRule>
  </conditionalFormatting>
  <conditionalFormatting sqref="T30 T210 T50 T379 T60 T250 T70 T370 T80 T220 T90 T349 T100 T280 T120 T329 T130 T230 T140 T320 T150 T260 T160 T310 T170 T240 T180 T300 T190 T270 T200 T290 T389">
    <cfRule type="expression" dxfId="125" priority="108" stopIfTrue="1">
      <formula>WEEKDAY($B18,1)=6</formula>
    </cfRule>
    <cfRule type="expression" dxfId="124" priority="109" stopIfTrue="1">
      <formula>WEEKDAY($B18,1)=7</formula>
    </cfRule>
    <cfRule type="expression" dxfId="123" priority="110" stopIfTrue="1">
      <formula>$E30&lt;&gt;""</formula>
    </cfRule>
  </conditionalFormatting>
  <conditionalFormatting sqref="T33:T37 T403:T404 T283:T288 T383:T387 T44:T48 T223:T228 T54:T58 T392:T396 T63:T68 T303:T308 T73:T78 T373:T377 T83:T88 T363:T368 T103:T107 T263:T268 T93:T98 T233:T238 T114:T118 T343:T347 T124:T128 T243:T248 T133:T138 T353:T356 T143:T148 T293:T298 T153:T158 T323:T327 T163:T168 T253:T258 T173:T178 T333:T336 T183:T188 T273:T278 T193:T198 T313:T318 T203:T208 T23:T28 T213:T218">
    <cfRule type="expression" dxfId="122" priority="105" stopIfTrue="1">
      <formula>WEEKDAY($B13,1)=6</formula>
    </cfRule>
    <cfRule type="expression" dxfId="121" priority="106" stopIfTrue="1">
      <formula>WEEKDAY($B13,1)=7</formula>
    </cfRule>
    <cfRule type="expression" dxfId="120" priority="107" stopIfTrue="1">
      <formula>$E23&lt;&gt;""</formula>
    </cfRule>
  </conditionalFormatting>
  <conditionalFormatting sqref="T29 T209 T49 T378 T59 T249 T69 T369 T79 T219 T89 T348 T99 T279 T119 T328 T129 T229 T139 T319 T149 T259 T159 T309 T169 T239 T179 T299 T189 T269 T199 T289 T388">
    <cfRule type="expression" dxfId="119" priority="102" stopIfTrue="1">
      <formula>WEEKDAY($B18,1)=6</formula>
    </cfRule>
    <cfRule type="expression" dxfId="118" priority="103" stopIfTrue="1">
      <formula>WEEKDAY($B18,1)=7</formula>
    </cfRule>
    <cfRule type="expression" dxfId="117" priority="104" stopIfTrue="1">
      <formula>$E29&lt;&gt;""</formula>
    </cfRule>
  </conditionalFormatting>
  <conditionalFormatting sqref="T53 T332 T123 T352 T382">
    <cfRule type="expression" dxfId="116" priority="99" stopIfTrue="1">
      <formula>WEEKDAY($B38,1)=6</formula>
    </cfRule>
    <cfRule type="expression" dxfId="115" priority="100" stopIfTrue="1">
      <formula>WEEKDAY($B38,1)=7</formula>
    </cfRule>
    <cfRule type="expression" dxfId="114" priority="101" stopIfTrue="1">
      <formula>$E53&lt;&gt;""</formula>
    </cfRule>
  </conditionalFormatting>
  <conditionalFormatting sqref="C15:D404 Q15:S15 Q395:S395 O25:S25 Q35:S35 Q45:S45 Q55:S55 Q65:S65 Q75:S75 Q85:S85 Q95:S95 Q105:S105 Q115:S115 Q125:S125 Q135:S135 Q145:S145 Q155:S155 Q165:S165 Q175:S175 Q185:S185 Q195:S195 Q205:S205 Q215:S215 Q225:S225 Q235:S235 Q245:S245 Q255:S255 Q265:S265 Q275:S275 Q285:S285 Q295:S295 Q305:S305 Q315:S315 Q325:S325 Q335:S335 Q345:S345 Q355:S355 Q365:S365 Q375:S375 Q385:S385 F15:G404">
    <cfRule type="expression" dxfId="113" priority="98" stopIfTrue="1">
      <formula>OR(WEEKDAY($C15,1)=1,WEEKDAY($C15,1)=7,$E15&lt;&gt;"")</formula>
    </cfRule>
  </conditionalFormatting>
  <conditionalFormatting sqref="B15:B404">
    <cfRule type="expression" dxfId="112" priority="97" stopIfTrue="1">
      <formula>OR(WEEKDAY($B15,1)=1,WEEKDAY($B15,1)=7,$E15&lt;&gt;"")</formula>
    </cfRule>
  </conditionalFormatting>
  <conditionalFormatting sqref="Q16:S16 O26:S26 Q36:S36 Q46:S46 Q56:S56 Q66:S66 Q76:S76 Q86:S86 Q96:S96 Q106:S106 Q116:S116 Q126:S126 Q136:S136 Q146:S146 Q156:S156 Q166:S166 Q176:S176 Q186:S186 Q196:S196 Q206:S206 Q216:S216 Q226:S226 Q236:S236 Q246:S246 Q256:S256 Q266:S266 Q276:S276 Q286:S286 Q296:S296 Q306:S306 Q316:S316 Q326:S326 Q336:S336 Q346:S346 Q356:S356 Q366:S366 Q376:S376 Q386:S386 Q396:S396">
    <cfRule type="expression" dxfId="111" priority="96" stopIfTrue="1">
      <formula>OR(WEEKDAY($C15,1)=1,WEEKDAY($C15,1)=7,$E15&lt;&gt;"")</formula>
    </cfRule>
  </conditionalFormatting>
  <conditionalFormatting sqref="Q17:S17 O27:S27 Q37:S37 Q47:S47 Q57:S57 Q67:S67 Q77:S77 Q87:S87 Q97:S97 Q107:S107 Q117:S117 Q127:S127 Q137:S137 Q147:S147 Q157:S157 Q167:S167 Q177:S177 Q187:S187 Q197:S197 Q207:S207 Q217:S217 Q227:S227 Q237:S237 Q247:S247 Q257:S257 Q267:S267 Q277:S277 Q287:S287 Q297:S297 Q307:S307 Q317:S317 Q327:S327 Q337:S337 Q347:S347 Q357:S357 Q367:S367 Q377:S377 Q387:S387 Q397:S397">
    <cfRule type="expression" dxfId="110" priority="95" stopIfTrue="1">
      <formula>OR(WEEKDAY($C15,1)=1,WEEKDAY($C15,1)=7,$E15&lt;&gt;"")</formula>
    </cfRule>
  </conditionalFormatting>
  <conditionalFormatting sqref="Q18:S18 O28:S28 Q38:S38 Q48:S48 Q58:S58 Q68:S68 Q78:S78 Q88:S88 Q98:S98 Q108:S108 Q118:S118 Q128:S128 Q138:S138 Q148:S148 Q158:S158 Q168:S168 Q178:S178 Q188:S188 Q198:S198 Q208:S208 Q218:S218 Q228:S228 Q238:S238 Q248:S248 Q258:S258 Q268:S268 Q278:S278 Q288:S288 Q298:S298 Q308:S308 Q318:S318 Q328:S328 Q338:S338 Q348:S348 Q358:S358 Q368:S368 Q378:S378 Q388:S388 Q398:S398">
    <cfRule type="expression" dxfId="109" priority="94" stopIfTrue="1">
      <formula>OR(WEEKDAY($C15,1)=1,WEEKDAY($C15,1)=7,$E15&lt;&gt;"")</formula>
    </cfRule>
  </conditionalFormatting>
  <conditionalFormatting sqref="Q19:S19 O29:S29 Q39:S39 Q49:S49 Q59:S59 Q69:S69 Q79:S79 Q89:S89 Q99:S99 Q109:S109 Q119:S119 Q129:S129 Q139:S139 Q149:S149 Q159:S159 Q169:S169 Q179:S179 Q189:S189 Q199:S199 Q209:S209 Q219:S219 Q229:S229 Q239:S239 Q249:S249 Q259:S259 Q269:S269 Q279:S279 Q289:S289 Q299:S299 Q309:S309 Q319:S319 Q329:S329 Q339:S339 Q349:S349 Q359:S359 Q369:S369 Q379:S379 Q389:S389 Q399:S399">
    <cfRule type="expression" dxfId="108" priority="93" stopIfTrue="1">
      <formula>OR(WEEKDAY($C15,1)=1,WEEKDAY($C15,1)=7,$E15&lt;&gt;"")</formula>
    </cfRule>
  </conditionalFormatting>
  <conditionalFormatting sqref="Q20:S20 O30:S30 Q40:S40 Q50:S50 Q60:S60 Q70:S70 Q80:S80 Q90:S90 Q100:S100 Q110:S110 Q120:S120 Q130:S130 Q140:S140 Q150:S150 Q160:S160 Q170:S170 Q180:S180 Q190:S190 Q200:S200 Q210:S210 Q220:S220 Q230:S230 Q240:S240 Q250:S250 Q260:S260 Q270:S270 Q280:S280 Q290:S290 Q300:S300 Q310:S310 Q320:S320 Q330:S330 Q340:S340 Q350:S350 Q360:S360 Q370:S370 Q380:S380 Q390:S390 Q400:S400">
    <cfRule type="expression" dxfId="107" priority="92" stopIfTrue="1">
      <formula>OR(WEEKDAY($C15,1)=1,WEEKDAY($C15,1)=7,$E15&lt;&gt;"")</formula>
    </cfRule>
  </conditionalFormatting>
  <conditionalFormatting sqref="Q21:S21 O31:S31 Q41:S41 Q51:S51 Q61:S61 Q71:S71 Q81:S81 Q91:S91 Q101:S101 Q111:S111 Q121:S121 Q131:S131 Q141:S141 Q151:S151 Q161:S161 Q171:S171 Q181:S181 Q191:S191 Q201:S201 Q211:S211 Q221:S221 Q231:S231 Q241:S241 Q251:S251 Q261:S261 Q271:S271 Q281:S281 Q291:S291 Q301:S301 Q311:S311 Q321:S321 Q331:S331 Q341:S341 Q351:S351 Q361:S361 Q371:S371 Q381:S381 Q391:S391 Q401:S401">
    <cfRule type="expression" dxfId="106" priority="91" stopIfTrue="1">
      <formula>OR(WEEKDAY($C15,1)=1,WEEKDAY($C15,1)=7,$E15&lt;&gt;"")</formula>
    </cfRule>
  </conditionalFormatting>
  <conditionalFormatting sqref="Q22:S22 O32:S32 Q42:S42 Q52:S52 Q62:S62 Q72:S72 Q82:S82 Q92:S92 Q102:S102 Q112:S112 Q122:S122 Q132:S132 Q142:S142 Q152:S152 Q162:S162 Q172:S172 Q182:S182 Q192:S192 Q202:S202 Q212:S212 Q222:S222 Q232:S232 Q242:S242 Q252:S252 Q262:S262 Q272:S272 Q282:S282 Q292:S292 Q302:S302 Q312:S312 Q322:S322 Q332:S332 Q342:S342 Q352:S352 Q362:S362 Q372:S372 Q382:S382 Q392:S392 Q402:S402">
    <cfRule type="expression" dxfId="105" priority="90" stopIfTrue="1">
      <formula>OR(WEEKDAY($C15,1)=1,WEEKDAY($C15,1)=7,$E15&lt;&gt;"")</formula>
    </cfRule>
  </conditionalFormatting>
  <conditionalFormatting sqref="Q23:S23 O33:S33 Q43:S43 Q53:S53 Q63:S63 Q73:S73 Q83:S83 Q93:S93 Q103:S103 Q113:S113 Q123:S123 Q133:S133 Q143:S143 Q153:S153 Q163:S163 Q173:S173 Q183:S183 Q193:S193 Q203:S203 Q213:S213 Q223:S223 Q233:S233 Q243:S243 Q253:S253 Q263:S263 Q273:S273 Q283:S283 Q293:S293 Q303:S303 Q313:S313 Q323:S323 Q333:S333 Q343:S343 Q353:S353 Q363:S363 Q373:S373 Q383:S383 Q393:S393 Q403:S403">
    <cfRule type="expression" dxfId="104" priority="89" stopIfTrue="1">
      <formula>OR(WEEKDAY($C15,1)=1,WEEKDAY($C15,1)=7,$E15&lt;&gt;"")</formula>
    </cfRule>
  </conditionalFormatting>
  <conditionalFormatting sqref="Q24:S24 O34:S34 Q44:S44 Q54:S54 Q64:S64 Q74:S74 Q84:S84 Q94:S94 Q104:S104 Q114:S114 Q124:S124 Q134:S134 Q144:S144 Q154:S154 Q164:S164 Q174:S174 Q184:S184 Q194:S194 Q204:S204 Q214:S214 Q224:S224 Q234:S234 Q244:S244 Q254:S254 Q264:S264 Q274:S274 Q284:S284 Q294:S294 Q304:S304 Q314:S314 Q324:S324 Q334:S334 Q344:S344 Q354:S354 Q364:S364 Q374:S374 Q384:S384 Q394:S394 Q404:S404">
    <cfRule type="expression" dxfId="103" priority="88" stopIfTrue="1">
      <formula>OR(WEEKDAY($C15,1)=1,WEEKDAY($C15,1)=7,$E15&lt;&gt;"")</formula>
    </cfRule>
  </conditionalFormatting>
  <conditionalFormatting sqref="I395:J395 I15:J15 K25 I155:J155 I185:J185 I215:J215 I225:J225 I235:J235 I245:J245 I255:J255 I265:J265 I275:J275 I305:J305 I315:J315 I325:J325 I335:J335 I345:J345 I355:J355 I365:J365 I375:J375 I385:J385 U15:V404">
    <cfRule type="expression" dxfId="102" priority="85" stopIfTrue="1">
      <formula>WEEKDAY($B15,1)=1</formula>
    </cfRule>
    <cfRule type="expression" dxfId="101" priority="86" stopIfTrue="1">
      <formula>WEEKDAY($B15,1)=7</formula>
    </cfRule>
    <cfRule type="expression" dxfId="100" priority="87" stopIfTrue="1">
      <formula>$E15&lt;&gt;""</formula>
    </cfRule>
  </conditionalFormatting>
  <conditionalFormatting sqref="I195:J195">
    <cfRule type="expression" dxfId="99" priority="82" stopIfTrue="1">
      <formula>WEEKDAY($B195,1)=1</formula>
    </cfRule>
    <cfRule type="expression" dxfId="98" priority="83" stopIfTrue="1">
      <formula>WEEKDAY($B195,1)=7</formula>
    </cfRule>
    <cfRule type="expression" dxfId="97" priority="84" stopIfTrue="1">
      <formula>$E195&lt;&gt;""</formula>
    </cfRule>
  </conditionalFormatting>
  <conditionalFormatting sqref="O35:P35">
    <cfRule type="expression" dxfId="96" priority="81" stopIfTrue="1">
      <formula>OR(WEEKDAY($C35,1)=1,WEEKDAY($C35,1)=7,$E35&lt;&gt;"")</formula>
    </cfRule>
  </conditionalFormatting>
  <conditionalFormatting sqref="O36:P36">
    <cfRule type="expression" dxfId="95" priority="80" stopIfTrue="1">
      <formula>OR(WEEKDAY($C35,1)=1,WEEKDAY($C35,1)=7,$E35&lt;&gt;"")</formula>
    </cfRule>
  </conditionalFormatting>
  <conditionalFormatting sqref="O37:P37">
    <cfRule type="expression" dxfId="94" priority="79" stopIfTrue="1">
      <formula>OR(WEEKDAY($C35,1)=1,WEEKDAY($C35,1)=7,$E35&lt;&gt;"")</formula>
    </cfRule>
  </conditionalFormatting>
  <conditionalFormatting sqref="O38:P38">
    <cfRule type="expression" dxfId="93" priority="78" stopIfTrue="1">
      <formula>OR(WEEKDAY($C35,1)=1,WEEKDAY($C35,1)=7,$E35&lt;&gt;"")</formula>
    </cfRule>
  </conditionalFormatting>
  <conditionalFormatting sqref="O39:P39">
    <cfRule type="expression" dxfId="92" priority="77" stopIfTrue="1">
      <formula>OR(WEEKDAY($C35,1)=1,WEEKDAY($C35,1)=7,$E35&lt;&gt;"")</formula>
    </cfRule>
  </conditionalFormatting>
  <conditionalFormatting sqref="O40:P40">
    <cfRule type="expression" dxfId="91" priority="76" stopIfTrue="1">
      <formula>OR(WEEKDAY($C35,1)=1,WEEKDAY($C35,1)=7,$E35&lt;&gt;"")</formula>
    </cfRule>
  </conditionalFormatting>
  <conditionalFormatting sqref="O41:P41">
    <cfRule type="expression" dxfId="90" priority="75" stopIfTrue="1">
      <formula>OR(WEEKDAY($C35,1)=1,WEEKDAY($C35,1)=7,$E35&lt;&gt;"")</formula>
    </cfRule>
  </conditionalFormatting>
  <conditionalFormatting sqref="O42:P42">
    <cfRule type="expression" dxfId="89" priority="74" stopIfTrue="1">
      <formula>OR(WEEKDAY($C35,1)=1,WEEKDAY($C35,1)=7,$E35&lt;&gt;"")</formula>
    </cfRule>
  </conditionalFormatting>
  <conditionalFormatting sqref="O43:P43">
    <cfRule type="expression" dxfId="88" priority="73" stopIfTrue="1">
      <formula>OR(WEEKDAY($C35,1)=1,WEEKDAY($C35,1)=7,$E35&lt;&gt;"")</formula>
    </cfRule>
  </conditionalFormatting>
  <conditionalFormatting sqref="O44:P44">
    <cfRule type="expression" dxfId="87" priority="72" stopIfTrue="1">
      <formula>OR(WEEKDAY($C35,1)=1,WEEKDAY($C35,1)=7,$E35&lt;&gt;"")</formula>
    </cfRule>
  </conditionalFormatting>
  <conditionalFormatting sqref="K15">
    <cfRule type="expression" dxfId="86" priority="69" stopIfTrue="1">
      <formula>WEEKDAY($B15,1)=1</formula>
    </cfRule>
    <cfRule type="expression" dxfId="85" priority="70" stopIfTrue="1">
      <formula>WEEKDAY($B15,1)=7</formula>
    </cfRule>
    <cfRule type="expression" dxfId="84" priority="71" stopIfTrue="1">
      <formula>$E15&lt;&gt;""</formula>
    </cfRule>
  </conditionalFormatting>
  <conditionalFormatting sqref="K35 K45 K55 K65 K75 K85 K95 K105 K115 K125 K135 K145 K155 K165 K175 K185 K195 K205 K215 K225 K235 K245 K255 K265 K275 K285 K295 K305 K315 K325 K335 K345 K355 K365 K375 K385 K395">
    <cfRule type="expression" dxfId="83" priority="66" stopIfTrue="1">
      <formula>WEEKDAY($B35,1)=1</formula>
    </cfRule>
    <cfRule type="expression" dxfId="82" priority="67" stopIfTrue="1">
      <formula>WEEKDAY($B35,1)=7</formula>
    </cfRule>
    <cfRule type="expression" dxfId="81" priority="68" stopIfTrue="1">
      <formula>$E35&lt;&gt;""</formula>
    </cfRule>
  </conditionalFormatting>
  <conditionalFormatting sqref="O15:P15">
    <cfRule type="expression" dxfId="80" priority="65" stopIfTrue="1">
      <formula>OR(WEEKDAY($C15,1)=1,WEEKDAY($C15,1)=7,$E15&lt;&gt;"")</formula>
    </cfRule>
  </conditionalFormatting>
  <conditionalFormatting sqref="O16:P16">
    <cfRule type="expression" dxfId="79" priority="64" stopIfTrue="1">
      <formula>OR(WEEKDAY($C15,1)=1,WEEKDAY($C15,1)=7,$E15&lt;&gt;"")</formula>
    </cfRule>
  </conditionalFormatting>
  <conditionalFormatting sqref="O17:P17">
    <cfRule type="expression" dxfId="78" priority="63" stopIfTrue="1">
      <formula>OR(WEEKDAY($C15,1)=1,WEEKDAY($C15,1)=7,$E15&lt;&gt;"")</formula>
    </cfRule>
  </conditionalFormatting>
  <conditionalFormatting sqref="O18:P18">
    <cfRule type="expression" dxfId="77" priority="62" stopIfTrue="1">
      <formula>OR(WEEKDAY($C15,1)=1,WEEKDAY($C15,1)=7,$E15&lt;&gt;"")</formula>
    </cfRule>
  </conditionalFormatting>
  <conditionalFormatting sqref="O19:P19">
    <cfRule type="expression" dxfId="76" priority="61" stopIfTrue="1">
      <formula>OR(WEEKDAY($C15,1)=1,WEEKDAY($C15,1)=7,$E15&lt;&gt;"")</formula>
    </cfRule>
  </conditionalFormatting>
  <conditionalFormatting sqref="O20:P20">
    <cfRule type="expression" dxfId="75" priority="60" stopIfTrue="1">
      <formula>OR(WEEKDAY($C15,1)=1,WEEKDAY($C15,1)=7,$E15&lt;&gt;"")</formula>
    </cfRule>
  </conditionalFormatting>
  <conditionalFormatting sqref="O21:P21">
    <cfRule type="expression" dxfId="74" priority="59" stopIfTrue="1">
      <formula>OR(WEEKDAY($C15,1)=1,WEEKDAY($C15,1)=7,$E15&lt;&gt;"")</formula>
    </cfRule>
  </conditionalFormatting>
  <conditionalFormatting sqref="O22:P22">
    <cfRule type="expression" dxfId="73" priority="58" stopIfTrue="1">
      <formula>OR(WEEKDAY($C15,1)=1,WEEKDAY($C15,1)=7,$E15&lt;&gt;"")</formula>
    </cfRule>
  </conditionalFormatting>
  <conditionalFormatting sqref="O23:P23">
    <cfRule type="expression" dxfId="72" priority="57" stopIfTrue="1">
      <formula>OR(WEEKDAY($C15,1)=1,WEEKDAY($C15,1)=7,$E15&lt;&gt;"")</formula>
    </cfRule>
  </conditionalFormatting>
  <conditionalFormatting sqref="O24:P24">
    <cfRule type="expression" dxfId="71" priority="56" stopIfTrue="1">
      <formula>OR(WEEKDAY($C15,1)=1,WEEKDAY($C15,1)=7,$E15&lt;&gt;"")</formula>
    </cfRule>
  </conditionalFormatting>
  <conditionalFormatting sqref="O45:P45 O55:P55 O65:P65 O75:P75 O85:P85 O95:P95 O105:P105 O115:P115 O125:P125 O135:P135 O145:P145 O155:P155 O165:P165 O175:P175 O185:P185 O195:P195 O205:P205 O215:P215 O225:P225 O235:P235 O245:P245 O255:P255 O265:P265 O275:P275 O285:P285 O295:P295 O305:P305 O315:P315 O325:P325 O335:P335 O345:P345 O355:P355 O365:P365 O375:P375 O385:P385 O395:P395">
    <cfRule type="expression" dxfId="70" priority="55" stopIfTrue="1">
      <formula>OR(WEEKDAY($C45,1)=1,WEEKDAY($C45,1)=7,$E45&lt;&gt;"")</formula>
    </cfRule>
  </conditionalFormatting>
  <conditionalFormatting sqref="O46:P46 O56:P56 O66:P66 O76:P76 O86:P86 O96:P96 O106:P106 O116:P116 O126:P126 O136:P136 O146:P146 O156:P156 O166:P166 O176:P176 O186:P186 O196:P196 O206:P206 O216:P216 O226:P226 O236:P236 O246:P246 O256:P256 O266:P266 O276:P276 O286:P286 O296:P296 O306:P306 O316:P316 O326:P326 O336:P336 O346:P346 O356:P356 O366:P366 O376:P376 O386:P386 O396:P396">
    <cfRule type="expression" dxfId="69" priority="54" stopIfTrue="1">
      <formula>OR(WEEKDAY($C45,1)=1,WEEKDAY($C45,1)=7,$E45&lt;&gt;"")</formula>
    </cfRule>
  </conditionalFormatting>
  <conditionalFormatting sqref="O47:P47 O57:P57 O67:P67 O77:P77 O87:P87 O97:P97 O107:P107 O117:P117 O127:P127 O137:P137 O147:P147 O157:P157 O167:P167 O177:P177 O187:P187 O197:P197 O207:P207 O217:P217 O227:P227 O237:P237 O247:P247 O257:P257 O267:P267 O277:P277 O287:P287 O297:P297 O307:P307 O317:P317 O327:P327 O337:P337 O347:P347 O357:P357 O367:P367 O377:P377 O387:P387 O397:P397">
    <cfRule type="expression" dxfId="68" priority="53" stopIfTrue="1">
      <formula>OR(WEEKDAY($C45,1)=1,WEEKDAY($C45,1)=7,$E45&lt;&gt;"")</formula>
    </cfRule>
  </conditionalFormatting>
  <conditionalFormatting sqref="O48:P48 O58:P58 O68:P68 O78:P78 O88:P88 O98:P98 O108:P108 O118:P118 O128:P128 O138:P138 O148:P148 O158:P158 O168:P168 O178:P178 O188:P188 O198:P198 O208:P208 O218:P218 O228:P228 O238:P238 O248:P248 O258:P258 O268:P268 O278:P278 O288:P288 O298:P298 O308:P308 O318:P318 O328:P328 O338:P338 O348:P348 O358:P358 O368:P368 O378:P378 O388:P388 O398:P398">
    <cfRule type="expression" dxfId="67" priority="52" stopIfTrue="1">
      <formula>OR(WEEKDAY($C45,1)=1,WEEKDAY($C45,1)=7,$E45&lt;&gt;"")</formula>
    </cfRule>
  </conditionalFormatting>
  <conditionalFormatting sqref="O49:P49 O59:P59 O69:P69 O79:P79 O89:P89 O99:P99 O109:P109 O119:P119 O129:P129 O139:P139 O149:P149 O159:P159 O169:P169 O179:P179 O189:P189 O199:P199 O209:P209 O219:P219 O229:P229 O239:P239 O249:P249 O259:P259 O269:P269 O279:P279 O289:P289 O299:P299 O309:P309 O319:P319 O329:P329 O339:P339 O349:P349 O359:P359 O369:P369 O379:P379 O389:P389 O399:P399">
    <cfRule type="expression" dxfId="66" priority="51" stopIfTrue="1">
      <formula>OR(WEEKDAY($C45,1)=1,WEEKDAY($C45,1)=7,$E45&lt;&gt;"")</formula>
    </cfRule>
  </conditionalFormatting>
  <conditionalFormatting sqref="O50:P50 O60:P60 O70:P70 O80:P80 O90:P90 O100:P100 O110:P110 O120:P120 O130:P130 O140:P140 O150:P150 O160:P160 O170:P170 O180:P180 O190:P190 O200:P200 O210:P210 O220:P220 O230:P230 O240:P240 O250:P250 O260:P260 O270:P270 O280:P280 O290:P290 O300:P300 O310:P310 O320:P320 O330:P330 O340:P340 O350:P350 O360:P360 O370:P370 O380:P380 O390:P390 O400:P400">
    <cfRule type="expression" dxfId="65" priority="50" stopIfTrue="1">
      <formula>OR(WEEKDAY($C45,1)=1,WEEKDAY($C45,1)=7,$E45&lt;&gt;"")</formula>
    </cfRule>
  </conditionalFormatting>
  <conditionalFormatting sqref="O51:P51 O61:P61 O71:P71 O81:P81 O91:P91 O101:P101 O111:P111 O121:P121 O131:P131 O141:P141 O151:P151 O161:P161 O171:P171 O181:P181 O191:P191 O201:P201 O211:P211 O221:P221 O231:P231 O241:P241 O251:P251 O261:P261 O271:P271 O281:P281 O291:P291 O301:P301 O311:P311 O321:P321 O331:P331 O341:P341 O351:P351 O361:P361 O371:P371 O381:P381 O391:P391 O401:P401">
    <cfRule type="expression" dxfId="64" priority="49" stopIfTrue="1">
      <formula>OR(WEEKDAY($C45,1)=1,WEEKDAY($C45,1)=7,$E45&lt;&gt;"")</formula>
    </cfRule>
  </conditionalFormatting>
  <conditionalFormatting sqref="O52:P52 O62:P62 O72:P72 O82:P82 O92:P92 O102:P102 O112:P112 O122:P122 O132:P132 O142:P142 O152:P152 O162:P162 O172:P172 O182:P182 O192:P192 O202:P202 O212:P212 O222:P222 O232:P232 O242:P242 O252:P252 O262:P262 O272:P272 O282:P282 O292:P292 O302:P302 O312:P312 O322:P322 O332:P332 O342:P342 O352:P352 O362:P362 O372:P372 O382:P382 O392:P392 O402:P402">
    <cfRule type="expression" dxfId="63" priority="48" stopIfTrue="1">
      <formula>OR(WEEKDAY($C45,1)=1,WEEKDAY($C45,1)=7,$E45&lt;&gt;"")</formula>
    </cfRule>
  </conditionalFormatting>
  <conditionalFormatting sqref="O53:P53 O63:P63 O73:P73 O83:P83 O93:P93 O103:P103 O113:P113 O123:P123 O133:P133 O143:P143 O153:P153 O163:P163 O173:P173 O183:P183 O193:P193 O203:P203 O213:P213 O223:P223 O233:P233 O243:P243 O253:P253 O263:P263 O273:P273 O283:P283 O293:P293 O303:P303 O313:P313 O323:P323 O333:P333 O343:P343 O353:P353 O363:P363 O373:P373 O383:P383 O393:P393 O403:P403">
    <cfRule type="expression" dxfId="62" priority="47" stopIfTrue="1">
      <formula>OR(WEEKDAY($C45,1)=1,WEEKDAY($C45,1)=7,$E45&lt;&gt;"")</formula>
    </cfRule>
  </conditionalFormatting>
  <conditionalFormatting sqref="O54:P54 O64:P64 O74:P74 O84:P84 O94:P94 O104:P104 O114:P114 O124:P124 O134:P134 O144:P144 O154:P154 O164:P164 O174:P174 O184:P184 O194:P194 O204:P204 O214:P214 O224:P224 O234:P234 O244:P244 O254:P254 O264:P264 O274:P274 O284:P284 O294:P294 O304:P304 O314:P314 O324:P324 O334:P334 O344:P344 O354:P354 O364:P364 O374:P374 O384:P384 O394:P394 O404:P404">
    <cfRule type="expression" dxfId="61" priority="46" stopIfTrue="1">
      <formula>OR(WEEKDAY($C45,1)=1,WEEKDAY($C45,1)=7,$E45&lt;&gt;"")</formula>
    </cfRule>
  </conditionalFormatting>
  <conditionalFormatting sqref="I45:J45">
    <cfRule type="expression" dxfId="60" priority="43" stopIfTrue="1">
      <formula>WEEKDAY($B45,1)=1</formula>
    </cfRule>
    <cfRule type="expression" dxfId="59" priority="44" stopIfTrue="1">
      <formula>WEEKDAY($B45,1)=7</formula>
    </cfRule>
    <cfRule type="expression" dxfId="58" priority="45" stopIfTrue="1">
      <formula>$E45&lt;&gt;""</formula>
    </cfRule>
  </conditionalFormatting>
  <conditionalFormatting sqref="I65:J65">
    <cfRule type="expression" dxfId="57" priority="40" stopIfTrue="1">
      <formula>WEEKDAY($B65,1)=1</formula>
    </cfRule>
    <cfRule type="expression" dxfId="56" priority="41" stopIfTrue="1">
      <formula>WEEKDAY($B65,1)=7</formula>
    </cfRule>
    <cfRule type="expression" dxfId="55" priority="42" stopIfTrue="1">
      <formula>$E65&lt;&gt;""</formula>
    </cfRule>
  </conditionalFormatting>
  <conditionalFormatting sqref="I75:J75">
    <cfRule type="expression" dxfId="54" priority="37" stopIfTrue="1">
      <formula>WEEKDAY($B75,1)=1</formula>
    </cfRule>
    <cfRule type="expression" dxfId="53" priority="38" stopIfTrue="1">
      <formula>WEEKDAY($B75,1)=7</formula>
    </cfRule>
    <cfRule type="expression" dxfId="52" priority="39" stopIfTrue="1">
      <formula>$E75&lt;&gt;""</formula>
    </cfRule>
  </conditionalFormatting>
  <conditionalFormatting sqref="I85:J85">
    <cfRule type="expression" dxfId="51" priority="34" stopIfTrue="1">
      <formula>WEEKDAY($B85,1)=1</formula>
    </cfRule>
    <cfRule type="expression" dxfId="50" priority="35" stopIfTrue="1">
      <formula>WEEKDAY($B85,1)=7</formula>
    </cfRule>
    <cfRule type="expression" dxfId="49" priority="36" stopIfTrue="1">
      <formula>$E85&lt;&gt;""</formula>
    </cfRule>
  </conditionalFormatting>
  <conditionalFormatting sqref="I115:J115">
    <cfRule type="expression" dxfId="48" priority="31" stopIfTrue="1">
      <formula>WEEKDAY($B115,1)=1</formula>
    </cfRule>
    <cfRule type="expression" dxfId="47" priority="32" stopIfTrue="1">
      <formula>WEEKDAY($B115,1)=7</formula>
    </cfRule>
    <cfRule type="expression" dxfId="46" priority="33" stopIfTrue="1">
      <formula>$E115&lt;&gt;""</formula>
    </cfRule>
  </conditionalFormatting>
  <conditionalFormatting sqref="I125:J125">
    <cfRule type="expression" dxfId="45" priority="28" stopIfTrue="1">
      <formula>WEEKDAY($B125,1)=1</formula>
    </cfRule>
    <cfRule type="expression" dxfId="44" priority="29" stopIfTrue="1">
      <formula>WEEKDAY($B125,1)=7</formula>
    </cfRule>
    <cfRule type="expression" dxfId="43" priority="30" stopIfTrue="1">
      <formula>$E125&lt;&gt;""</formula>
    </cfRule>
  </conditionalFormatting>
  <conditionalFormatting sqref="I135:J135">
    <cfRule type="expression" dxfId="42" priority="25" stopIfTrue="1">
      <formula>WEEKDAY($B135,1)=1</formula>
    </cfRule>
    <cfRule type="expression" dxfId="41" priority="26" stopIfTrue="1">
      <formula>WEEKDAY($B135,1)=7</formula>
    </cfRule>
    <cfRule type="expression" dxfId="40" priority="27" stopIfTrue="1">
      <formula>$E135&lt;&gt;""</formula>
    </cfRule>
  </conditionalFormatting>
  <conditionalFormatting sqref="I145:J145">
    <cfRule type="expression" dxfId="39" priority="22" stopIfTrue="1">
      <formula>WEEKDAY($B145,1)=1</formula>
    </cfRule>
    <cfRule type="expression" dxfId="38" priority="23" stopIfTrue="1">
      <formula>WEEKDAY($B145,1)=7</formula>
    </cfRule>
    <cfRule type="expression" dxfId="37" priority="24" stopIfTrue="1">
      <formula>$E145&lt;&gt;""</formula>
    </cfRule>
  </conditionalFormatting>
  <conditionalFormatting sqref="I285:J285 I295:J295">
    <cfRule type="expression" dxfId="36" priority="16" stopIfTrue="1">
      <formula>WEEKDAY($B285,1)=1</formula>
    </cfRule>
    <cfRule type="expression" dxfId="35" priority="17" stopIfTrue="1">
      <formula>WEEKDAY($B285,1)=7</formula>
    </cfRule>
    <cfRule type="expression" dxfId="34" priority="18" stopIfTrue="1">
      <formula>$E285&lt;&gt;""</formula>
    </cfRule>
  </conditionalFormatting>
  <conditionalFormatting sqref="I55:J55">
    <cfRule type="expression" dxfId="33" priority="19" stopIfTrue="1">
      <formula>WEEKDAY($B55,1)=1</formula>
    </cfRule>
    <cfRule type="expression" dxfId="32" priority="20" stopIfTrue="1">
      <formula>WEEKDAY($B55,1)=7</formula>
    </cfRule>
    <cfRule type="expression" dxfId="31" priority="21" stopIfTrue="1">
      <formula>$E55&lt;&gt;""</formula>
    </cfRule>
  </conditionalFormatting>
  <conditionalFormatting sqref="H35:H44">
    <cfRule type="expression" dxfId="30" priority="15" stopIfTrue="1">
      <formula>OR(WEEKDAY($C35,1)=7,WEEKDAY($C35,1)=1,$E35&lt;&gt;"")</formula>
    </cfRule>
  </conditionalFormatting>
  <conditionalFormatting sqref="H15:H34">
    <cfRule type="expression" dxfId="29" priority="14" stopIfTrue="1">
      <formula>OR(WEEKDAY($C15,1)=7,WEEKDAY($C15,1)=1,$E15&lt;&gt;"")</formula>
    </cfRule>
  </conditionalFormatting>
  <conditionalFormatting sqref="H45:H404">
    <cfRule type="expression" dxfId="28" priority="13" stopIfTrue="1">
      <formula>OR(WEEKDAY($C45,1)=7,WEEKDAY($C45,1)=1,$E45&lt;&gt;"")</formula>
    </cfRule>
  </conditionalFormatting>
  <conditionalFormatting sqref="I25:J25 I35:J35">
    <cfRule type="expression" dxfId="27" priority="10" stopIfTrue="1">
      <formula>WEEKDAY($B25,1)=1</formula>
    </cfRule>
    <cfRule type="expression" dxfId="26" priority="11" stopIfTrue="1">
      <formula>WEEKDAY($B25,1)=7</formula>
    </cfRule>
    <cfRule type="expression" dxfId="25" priority="12" stopIfTrue="1">
      <formula>$E25&lt;&gt;""</formula>
    </cfRule>
  </conditionalFormatting>
  <conditionalFormatting sqref="I95:J95 I105:J105">
    <cfRule type="expression" dxfId="24" priority="7" stopIfTrue="1">
      <formula>WEEKDAY($B95,1)=1</formula>
    </cfRule>
    <cfRule type="expression" dxfId="23" priority="8" stopIfTrue="1">
      <formula>WEEKDAY($B95,1)=7</formula>
    </cfRule>
    <cfRule type="expression" dxfId="22" priority="9" stopIfTrue="1">
      <formula>$E95&lt;&gt;""</formula>
    </cfRule>
  </conditionalFormatting>
  <conditionalFormatting sqref="I165:J165 I175:J175">
    <cfRule type="expression" dxfId="21" priority="4" stopIfTrue="1">
      <formula>WEEKDAY($B165,1)=1</formula>
    </cfRule>
    <cfRule type="expression" dxfId="20" priority="5" stopIfTrue="1">
      <formula>WEEKDAY($B165,1)=7</formula>
    </cfRule>
    <cfRule type="expression" dxfId="19" priority="6" stopIfTrue="1">
      <formula>$E165&lt;&gt;""</formula>
    </cfRule>
  </conditionalFormatting>
  <conditionalFormatting sqref="I205:J205">
    <cfRule type="expression" dxfId="18" priority="1" stopIfTrue="1">
      <formula>WEEKDAY($B205,1)=1</formula>
    </cfRule>
    <cfRule type="expression" dxfId="17" priority="2" stopIfTrue="1">
      <formula>WEEKDAY($B205,1)=7</formula>
    </cfRule>
    <cfRule type="expression" dxfId="16" priority="3" stopIfTrue="1">
      <formula>$E205&lt;&gt;""</formula>
    </cfRule>
  </conditionalFormatting>
  <dataValidations count="18">
    <dataValidation type="list" allowBlank="1" showInputMessage="1" showErrorMessage="1" sqref="I15:J404" xr:uid="{00000000-0002-0000-0000-000000000000}">
      <formula1>出退勤区分マスタ</formula1>
    </dataValidation>
    <dataValidation type="textLength" operator="equal" allowBlank="1" showInputMessage="1" showErrorMessage="1" error="プロジェクトコードは１２桁で入力してください。" sqref="W15:W404" xr:uid="{00000000-0002-0000-0000-000001000000}">
      <formula1>12</formula1>
    </dataValidation>
    <dataValidation type="list" allowBlank="1" showInputMessage="1" sqref="U2:W2" xr:uid="{00000000-0002-0000-0000-000002000000}">
      <formula1>プロジェクト名_正式</formula1>
    </dataValidation>
    <dataValidation imeMode="off" operator="greaterThanOrEqual" allowBlank="1" showInputMessage="1" showErrorMessage="1" sqref="AD15:AD404" xr:uid="{00000000-0002-0000-0000-000003000000}"/>
    <dataValidation type="list" imeMode="off" operator="greaterThanOrEqual" allowBlank="1" showInputMessage="1" sqref="AE15:AE404" xr:uid="{00000000-0002-0000-0000-000004000000}">
      <formula1>納品物件</formula1>
    </dataValidation>
    <dataValidation type="whole" imeMode="off" operator="greaterThanOrEqual" allowBlank="1" showInputMessage="1" showErrorMessage="1" sqref="AF15:AF404" xr:uid="{00000000-0002-0000-0000-000005000000}">
      <formula1>0</formula1>
    </dataValidation>
    <dataValidation type="list" imeMode="halfAlpha" operator="lessThanOrEqual" allowBlank="1" showInputMessage="1" showErrorMessage="1" sqref="Z15:Z404" xr:uid="{00000000-0002-0000-0000-000006000000}">
      <formula1>工程コード</formula1>
    </dataValidation>
    <dataValidation type="list" imeMode="halfAlpha" allowBlank="1" showInputMessage="1" showErrorMessage="1" sqref="AB15:AB404" xr:uid="{00000000-0002-0000-0000-000007000000}">
      <formula1>時間区分</formula1>
    </dataValidation>
    <dataValidation type="list" allowBlank="1" showInputMessage="1" showErrorMessage="1" sqref="I2:J2" xr:uid="{00000000-0002-0000-0000-000008000000}">
      <formula1>部署マスタ</formula1>
    </dataValidation>
    <dataValidation type="list" allowBlank="1" showInputMessage="1" showErrorMessage="1" sqref="X15:X404" xr:uid="{00000000-0002-0000-0000-000009000000}">
      <formula1>プロジェクト名_正式</formula1>
    </dataValidation>
    <dataValidation type="list" allowBlank="1" showInputMessage="1" showErrorMessage="1" sqref="I3:J3" xr:uid="{00000000-0002-0000-0000-00000A000000}">
      <formula1>"社員,協力会社"</formula1>
    </dataValidation>
    <dataValidation type="list" allowBlank="1" showInputMessage="1" showErrorMessage="1" sqref="Z3" xr:uid="{00000000-0002-0000-0000-00000B000000}">
      <formula1>"一般,M5、P5以上"</formula1>
    </dataValidation>
    <dataValidation type="list" allowBlank="1" showInputMessage="1" showErrorMessage="1" sqref="AI2" xr:uid="{00000000-0002-0000-0000-00000C000000}">
      <formula1>契約形態マスタ</formula1>
    </dataValidation>
    <dataValidation type="time" allowBlank="1" showInputMessage="1" showErrorMessage="1" error="h:mm形式で入力して下さい(0:01～23:59)" sqref="K15:K404" xr:uid="{00000000-0002-0000-0000-00000D000000}">
      <formula1>0</formula1>
      <formula2>0.999305555555556</formula2>
    </dataValidation>
    <dataValidation type="time" imeMode="off" allowBlank="1" showInputMessage="1" showErrorMessage="1" error="h:mm形式で入力してください" sqref="AC15:AC404" xr:uid="{00000000-0002-0000-0000-00000E000000}">
      <formula1>0</formula1>
      <formula2>0.999305555555556</formula2>
    </dataValidation>
    <dataValidation type="time" allowBlank="1" showInputMessage="1" showErrorMessage="1" error="h:mm形式で入力して下さい(0:00～23:59)" sqref="H15:H404" xr:uid="{00000000-0002-0000-0000-00000F000000}">
      <formula1>0</formula1>
      <formula2>0.999305555555556</formula2>
    </dataValidation>
    <dataValidation type="list" imeMode="halfAlpha" operator="equal" allowBlank="1" showInputMessage="1" showErrorMessage="1" sqref="AA15:AA404" xr:uid="{839CA885-3B8D-457B-9F76-2F141D8F96BB}">
      <formula1>工程・作業対応</formula1>
    </dataValidation>
    <dataValidation type="list" imeMode="halfAlpha" operator="equal" allowBlank="1" showInputMessage="1" showErrorMessage="1" sqref="Y15:Y404" xr:uid="{CE2843F8-D7E5-45D0-A4B1-4BA032D34A96}">
      <formula1>テーマコード</formula1>
    </dataValidation>
  </dataValidations>
  <pageMargins left="0.59055118110236227" right="0.59055118110236227" top="0.59055118110236227" bottom="0.59055118110236227" header="0.31496062992125984" footer="0.51181102362204722"/>
  <pageSetup paperSize="9" scale="85" orientation="landscape" r:id="rId1"/>
  <headerFooter alignWithMargins="0">
    <oddHeader>&amp;C&amp;12&amp;A</oddHeader>
  </headerFooter>
  <drawing r:id="rId2"/>
  <legacyDrawing r:id="rId3"/>
  <controls>
    <mc:AlternateContent xmlns:mc="http://schemas.openxmlformats.org/markup-compatibility/2006">
      <mc:Choice Requires="x14">
        <control shapeId="1029" r:id="rId4" name="btnReadCsv">
          <controlPr defaultSize="0" autoLine="0" r:id="rId5">
            <anchor moveWithCells="1">
              <from>
                <xdr:col>40</xdr:col>
                <xdr:colOff>171450</xdr:colOff>
                <xdr:row>0</xdr:row>
                <xdr:rowOff>76200</xdr:rowOff>
              </from>
              <to>
                <xdr:col>44</xdr:col>
                <xdr:colOff>228600</xdr:colOff>
                <xdr:row>1</xdr:row>
                <xdr:rowOff>133350</xdr:rowOff>
              </to>
            </anchor>
          </controlPr>
        </control>
      </mc:Choice>
      <mc:Fallback>
        <control shapeId="1029" r:id="rId4" name="btnReadCsv"/>
      </mc:Fallback>
    </mc:AlternateContent>
    <mc:AlternateContent xmlns:mc="http://schemas.openxmlformats.org/markup-compatibility/2006">
      <mc:Choice Requires="x14">
        <control shapeId="1028" r:id="rId6" name="btnCreateCsv">
          <controlPr defaultSize="0" autoLine="0" r:id="rId7">
            <anchor moveWithCells="1">
              <from>
                <xdr:col>40</xdr:col>
                <xdr:colOff>171450</xdr:colOff>
                <xdr:row>1</xdr:row>
                <xdr:rowOff>152400</xdr:rowOff>
              </from>
              <to>
                <xdr:col>44</xdr:col>
                <xdr:colOff>228600</xdr:colOff>
                <xdr:row>2</xdr:row>
                <xdr:rowOff>209550</xdr:rowOff>
              </to>
            </anchor>
          </controlPr>
        </control>
      </mc:Choice>
      <mc:Fallback>
        <control shapeId="1028" r:id="rId6" name="btnCreateCsv"/>
      </mc:Fallback>
    </mc:AlternateContent>
    <mc:AlternateContent xmlns:mc="http://schemas.openxmlformats.org/markup-compatibility/2006">
      <mc:Choice Requires="x14">
        <control shapeId="1027" r:id="rId8" name="btnSagyoHoukokusho">
          <controlPr defaultSize="0" autoLine="0" r:id="rId9">
            <anchor moveWithCells="1">
              <from>
                <xdr:col>8</xdr:col>
                <xdr:colOff>76200</xdr:colOff>
                <xdr:row>3</xdr:row>
                <xdr:rowOff>38100</xdr:rowOff>
              </from>
              <to>
                <xdr:col>8</xdr:col>
                <xdr:colOff>1162050</xdr:colOff>
                <xdr:row>12</xdr:row>
                <xdr:rowOff>0</xdr:rowOff>
              </to>
            </anchor>
          </controlPr>
        </control>
      </mc:Choice>
      <mc:Fallback>
        <control shapeId="1027" r:id="rId8" name="btnSagyoHoukokusho"/>
      </mc:Fallback>
    </mc:AlternateContent>
    <mc:AlternateContent xmlns:mc="http://schemas.openxmlformats.org/markup-compatibility/2006">
      <mc:Choice Requires="x14">
        <control shapeId="1026" r:id="rId10" name="btnInitialize">
          <controlPr defaultSize="0" autoLine="0" r:id="rId11">
            <anchor moveWithCells="1">
              <from>
                <xdr:col>1</xdr:col>
                <xdr:colOff>0</xdr:colOff>
                <xdr:row>1</xdr:row>
                <xdr:rowOff>152400</xdr:rowOff>
              </from>
              <to>
                <xdr:col>4</xdr:col>
                <xdr:colOff>104775</xdr:colOff>
                <xdr:row>2</xdr:row>
                <xdr:rowOff>171450</xdr:rowOff>
              </to>
            </anchor>
          </controlPr>
        </control>
      </mc:Choice>
      <mc:Fallback>
        <control shapeId="1026" r:id="rId10" name="btnInitialize"/>
      </mc:Fallback>
    </mc:AlternateContent>
    <mc:AlternateContent xmlns:mc="http://schemas.openxmlformats.org/markup-compatibility/2006">
      <mc:Choice Requires="x14">
        <control shapeId="1025" r:id="rId12" name="btnChkAllDay">
          <controlPr defaultSize="0" autoLine="0" r:id="rId13">
            <anchor moveWithCells="1">
              <from>
                <xdr:col>1</xdr:col>
                <xdr:colOff>0</xdr:colOff>
                <xdr:row>0</xdr:row>
                <xdr:rowOff>104775</xdr:rowOff>
              </from>
              <to>
                <xdr:col>4</xdr:col>
                <xdr:colOff>104775</xdr:colOff>
                <xdr:row>1</xdr:row>
                <xdr:rowOff>123825</xdr:rowOff>
              </to>
            </anchor>
          </controlPr>
        </control>
      </mc:Choice>
      <mc:Fallback>
        <control shapeId="1025" r:id="rId12" name="btnChkAllDay"/>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70"/>
  <sheetViews>
    <sheetView zoomScaleNormal="100" workbookViewId="0">
      <pane ySplit="4" topLeftCell="A5" activePane="bottomLeft" state="frozen"/>
      <selection activeCell="I15" sqref="I15:I24"/>
      <selection pane="bottomLeft" activeCell="A5" sqref="A5"/>
    </sheetView>
  </sheetViews>
  <sheetFormatPr defaultRowHeight="15"/>
  <cols>
    <col min="1" max="1" width="2.75" style="86" customWidth="1"/>
    <col min="2" max="2" width="4.5" style="86" hidden="1" customWidth="1"/>
    <col min="3" max="3" width="18.125" style="86" hidden="1" customWidth="1"/>
    <col min="4" max="4" width="57.375" style="86" customWidth="1"/>
    <col min="5" max="5" width="79.125" style="86" customWidth="1"/>
    <col min="6" max="6" width="13.625" style="86" bestFit="1" customWidth="1"/>
  </cols>
  <sheetData>
    <row r="1" spans="1:7" ht="19.5">
      <c r="A1" s="85" t="s">
        <v>62</v>
      </c>
    </row>
    <row r="2" spans="1:7" ht="19.5">
      <c r="A2" s="87"/>
    </row>
    <row r="3" spans="1:7">
      <c r="D3" s="86" t="s">
        <v>63</v>
      </c>
    </row>
    <row r="4" spans="1:7" ht="15.75">
      <c r="B4" s="88"/>
      <c r="C4" s="88"/>
      <c r="D4" s="89" t="s">
        <v>64</v>
      </c>
      <c r="E4" s="89" t="s">
        <v>65</v>
      </c>
      <c r="F4" s="89" t="s">
        <v>66</v>
      </c>
    </row>
    <row r="5" spans="1:7" ht="15.75">
      <c r="B5" s="90"/>
      <c r="C5" s="91"/>
      <c r="D5" s="92" t="s">
        <v>67</v>
      </c>
      <c r="E5" s="93" t="s">
        <v>68</v>
      </c>
      <c r="F5" s="94" t="s">
        <v>69</v>
      </c>
    </row>
    <row r="6" spans="1:7" ht="15.75">
      <c r="B6" s="90"/>
      <c r="C6" s="95"/>
      <c r="D6" s="96" t="s">
        <v>70</v>
      </c>
      <c r="E6" s="97" t="s">
        <v>71</v>
      </c>
      <c r="F6" s="94" t="s">
        <v>72</v>
      </c>
    </row>
    <row r="7" spans="1:7" ht="15.75">
      <c r="B7" s="90"/>
      <c r="C7" s="95"/>
      <c r="D7" s="96" t="s">
        <v>73</v>
      </c>
      <c r="E7" s="97" t="s">
        <v>71</v>
      </c>
      <c r="F7" s="94" t="s">
        <v>72</v>
      </c>
    </row>
    <row r="8" spans="1:7" ht="15.75">
      <c r="B8" s="90"/>
      <c r="C8" s="95"/>
      <c r="D8" s="96" t="s">
        <v>74</v>
      </c>
      <c r="E8" s="97" t="s">
        <v>71</v>
      </c>
      <c r="F8" s="94" t="s">
        <v>72</v>
      </c>
    </row>
    <row r="9" spans="1:7" ht="15.75">
      <c r="B9" s="90"/>
      <c r="C9" s="95"/>
      <c r="D9" s="96" t="s">
        <v>75</v>
      </c>
      <c r="E9" s="97" t="s">
        <v>71</v>
      </c>
      <c r="F9" s="94" t="s">
        <v>72</v>
      </c>
    </row>
    <row r="10" spans="1:7" ht="15.75">
      <c r="B10" s="90"/>
      <c r="C10" s="95"/>
      <c r="D10" s="96" t="s">
        <v>76</v>
      </c>
      <c r="E10" s="97" t="s">
        <v>71</v>
      </c>
      <c r="F10" s="94" t="s">
        <v>72</v>
      </c>
    </row>
    <row r="11" spans="1:7" ht="15.75">
      <c r="B11" s="90"/>
      <c r="C11" s="95"/>
      <c r="D11" s="96" t="s">
        <v>77</v>
      </c>
      <c r="E11" s="97" t="s">
        <v>78</v>
      </c>
      <c r="F11" s="94" t="s">
        <v>72</v>
      </c>
      <c r="G11" t="s">
        <v>79</v>
      </c>
    </row>
    <row r="12" spans="1:7" ht="15.75">
      <c r="B12" s="90"/>
      <c r="C12" s="91"/>
      <c r="D12" s="96" t="s">
        <v>80</v>
      </c>
      <c r="E12" s="97" t="s">
        <v>78</v>
      </c>
      <c r="F12" s="94" t="s">
        <v>72</v>
      </c>
      <c r="G12" t="s">
        <v>81</v>
      </c>
    </row>
    <row r="13" spans="1:7" ht="15.75">
      <c r="B13" s="90"/>
      <c r="C13" s="91"/>
      <c r="D13" s="96" t="s">
        <v>82</v>
      </c>
      <c r="E13" s="98" t="s">
        <v>83</v>
      </c>
      <c r="F13" s="94" t="s">
        <v>72</v>
      </c>
    </row>
    <row r="14" spans="1:7" ht="15.75">
      <c r="B14" s="90"/>
      <c r="C14" s="91"/>
      <c r="D14" s="96" t="s">
        <v>84</v>
      </c>
      <c r="E14" s="99" t="s">
        <v>85</v>
      </c>
      <c r="F14" s="94" t="s">
        <v>69</v>
      </c>
    </row>
    <row r="15" spans="1:7" ht="15.75">
      <c r="B15" s="90"/>
      <c r="C15" s="91"/>
      <c r="D15" s="96" t="s">
        <v>86</v>
      </c>
      <c r="E15" s="99" t="s">
        <v>85</v>
      </c>
      <c r="F15" s="94" t="s">
        <v>69</v>
      </c>
    </row>
    <row r="16" spans="1:7" ht="15.75">
      <c r="B16" s="90"/>
      <c r="C16" s="91"/>
      <c r="D16" s="96" t="s">
        <v>87</v>
      </c>
      <c r="E16" s="99" t="s">
        <v>85</v>
      </c>
      <c r="F16" s="94" t="s">
        <v>69</v>
      </c>
    </row>
    <row r="17" spans="2:6" ht="15.75">
      <c r="B17" s="90"/>
      <c r="C17" s="91"/>
      <c r="D17" s="100" t="s">
        <v>88</v>
      </c>
      <c r="E17" s="101" t="s">
        <v>89</v>
      </c>
      <c r="F17" s="94" t="s">
        <v>79</v>
      </c>
    </row>
    <row r="18" spans="2:6" ht="15.75">
      <c r="B18" s="90"/>
      <c r="C18" s="91"/>
      <c r="D18" s="102" t="s">
        <v>90</v>
      </c>
      <c r="E18" s="101" t="s">
        <v>89</v>
      </c>
      <c r="F18" s="94" t="s">
        <v>91</v>
      </c>
    </row>
    <row r="19" spans="2:6" ht="15.75">
      <c r="B19" s="90"/>
      <c r="C19" s="91"/>
      <c r="D19" s="96" t="s">
        <v>92</v>
      </c>
      <c r="E19" s="101" t="s">
        <v>93</v>
      </c>
      <c r="F19" s="94" t="s">
        <v>72</v>
      </c>
    </row>
    <row r="20" spans="2:6" ht="15.75">
      <c r="B20" s="90"/>
      <c r="C20" s="91"/>
      <c r="D20" s="96" t="s">
        <v>94</v>
      </c>
      <c r="E20" s="101" t="s">
        <v>93</v>
      </c>
      <c r="F20" s="94" t="s">
        <v>72</v>
      </c>
    </row>
    <row r="21" spans="2:6" ht="15.75">
      <c r="B21" s="90"/>
      <c r="C21" s="91"/>
      <c r="D21" s="96" t="s">
        <v>95</v>
      </c>
      <c r="E21" s="101" t="s">
        <v>93</v>
      </c>
      <c r="F21" s="94" t="s">
        <v>72</v>
      </c>
    </row>
    <row r="22" spans="2:6" ht="15.75">
      <c r="B22" s="90"/>
      <c r="C22" s="95"/>
      <c r="D22" s="96" t="s">
        <v>96</v>
      </c>
      <c r="E22" s="101" t="s">
        <v>97</v>
      </c>
      <c r="F22" s="94" t="s">
        <v>72</v>
      </c>
    </row>
    <row r="23" spans="2:6" ht="15.75">
      <c r="B23" s="90"/>
      <c r="C23" s="95"/>
      <c r="D23" s="96" t="s">
        <v>98</v>
      </c>
      <c r="E23" s="101" t="s">
        <v>97</v>
      </c>
      <c r="F23" s="94" t="s">
        <v>72</v>
      </c>
    </row>
    <row r="24" spans="2:6" ht="15.75">
      <c r="B24" s="90"/>
      <c r="C24" s="95"/>
      <c r="D24" s="96" t="s">
        <v>99</v>
      </c>
      <c r="E24" s="101" t="s">
        <v>97</v>
      </c>
      <c r="F24" s="94" t="s">
        <v>72</v>
      </c>
    </row>
    <row r="25" spans="2:6" ht="15.75">
      <c r="B25" s="90"/>
      <c r="C25" s="95"/>
      <c r="D25" s="96" t="s">
        <v>100</v>
      </c>
      <c r="E25" s="101" t="s">
        <v>97</v>
      </c>
      <c r="F25" s="94" t="s">
        <v>72</v>
      </c>
    </row>
    <row r="26" spans="2:6" ht="15.75">
      <c r="B26" s="90"/>
      <c r="C26" s="95"/>
      <c r="D26" s="96" t="s">
        <v>101</v>
      </c>
      <c r="E26" s="101" t="s">
        <v>97</v>
      </c>
      <c r="F26" s="94" t="s">
        <v>72</v>
      </c>
    </row>
    <row r="27" spans="2:6" ht="15.75">
      <c r="B27" s="90"/>
      <c r="C27" s="95"/>
      <c r="D27" s="96" t="s">
        <v>102</v>
      </c>
      <c r="E27" s="101" t="s">
        <v>97</v>
      </c>
      <c r="F27" s="94" t="s">
        <v>72</v>
      </c>
    </row>
    <row r="28" spans="2:6" ht="15.75">
      <c r="B28" s="90"/>
      <c r="C28" s="95"/>
      <c r="D28" s="96" t="s">
        <v>103</v>
      </c>
      <c r="E28" s="101" t="s">
        <v>97</v>
      </c>
      <c r="F28" s="94" t="s">
        <v>72</v>
      </c>
    </row>
    <row r="29" spans="2:6" ht="15.75">
      <c r="B29" s="90"/>
      <c r="C29" s="95"/>
      <c r="D29" s="96" t="s">
        <v>104</v>
      </c>
      <c r="E29" s="101" t="s">
        <v>97</v>
      </c>
      <c r="F29" s="94" t="s">
        <v>72</v>
      </c>
    </row>
    <row r="30" spans="2:6" ht="15.75">
      <c r="B30" s="90"/>
      <c r="C30" s="95"/>
      <c r="D30" s="96" t="s">
        <v>105</v>
      </c>
      <c r="E30" s="101" t="s">
        <v>97</v>
      </c>
      <c r="F30" s="94" t="s">
        <v>72</v>
      </c>
    </row>
    <row r="31" spans="2:6" ht="15.75">
      <c r="B31" s="90"/>
      <c r="C31" s="95"/>
      <c r="D31" s="96" t="s">
        <v>106</v>
      </c>
      <c r="E31" s="101" t="s">
        <v>97</v>
      </c>
      <c r="F31" s="94" t="s">
        <v>72</v>
      </c>
    </row>
    <row r="32" spans="2:6" ht="15.75">
      <c r="B32" s="90"/>
      <c r="C32" s="95"/>
      <c r="D32" s="96" t="s">
        <v>107</v>
      </c>
      <c r="E32" s="101" t="s">
        <v>97</v>
      </c>
      <c r="F32" s="94" t="s">
        <v>72</v>
      </c>
    </row>
    <row r="33" spans="2:6" ht="15.75">
      <c r="B33" s="90"/>
      <c r="C33" s="95"/>
      <c r="D33" s="96" t="s">
        <v>108</v>
      </c>
      <c r="E33" s="101" t="s">
        <v>97</v>
      </c>
      <c r="F33" s="94" t="s">
        <v>72</v>
      </c>
    </row>
    <row r="34" spans="2:6" ht="15.75">
      <c r="B34" s="90"/>
      <c r="C34" s="95"/>
      <c r="D34" s="96" t="s">
        <v>109</v>
      </c>
      <c r="E34" s="101" t="s">
        <v>97</v>
      </c>
      <c r="F34" s="94" t="s">
        <v>72</v>
      </c>
    </row>
    <row r="35" spans="2:6" ht="15.75">
      <c r="B35" s="90"/>
      <c r="C35" s="95"/>
      <c r="D35" s="96" t="s">
        <v>110</v>
      </c>
      <c r="E35" s="101" t="s">
        <v>111</v>
      </c>
      <c r="F35" s="94" t="s">
        <v>72</v>
      </c>
    </row>
    <row r="36" spans="2:6" ht="15.75">
      <c r="B36" s="90"/>
      <c r="C36" s="95"/>
      <c r="D36" s="96" t="s">
        <v>112</v>
      </c>
      <c r="E36" s="101" t="s">
        <v>111</v>
      </c>
      <c r="F36" s="94" t="s">
        <v>72</v>
      </c>
    </row>
    <row r="37" spans="2:6" ht="15.75">
      <c r="B37" s="90"/>
      <c r="C37" s="95"/>
      <c r="D37" s="96" t="s">
        <v>113</v>
      </c>
      <c r="E37" s="101" t="s">
        <v>111</v>
      </c>
      <c r="F37" s="94" t="s">
        <v>72</v>
      </c>
    </row>
    <row r="38" spans="2:6" ht="15.75">
      <c r="B38" s="90"/>
      <c r="C38" s="95"/>
      <c r="D38" s="96" t="s">
        <v>114</v>
      </c>
      <c r="E38" s="101" t="s">
        <v>111</v>
      </c>
      <c r="F38" s="94" t="s">
        <v>72</v>
      </c>
    </row>
    <row r="39" spans="2:6" ht="15.75">
      <c r="B39" s="90"/>
      <c r="C39" s="95"/>
      <c r="D39" s="96" t="s">
        <v>115</v>
      </c>
      <c r="E39" s="101" t="s">
        <v>111</v>
      </c>
      <c r="F39" s="94" t="s">
        <v>72</v>
      </c>
    </row>
    <row r="40" spans="2:6" ht="15.75">
      <c r="B40" s="90"/>
      <c r="C40" s="95"/>
      <c r="D40" s="96" t="s">
        <v>116</v>
      </c>
      <c r="E40" s="101" t="s">
        <v>111</v>
      </c>
      <c r="F40" s="94" t="s">
        <v>72</v>
      </c>
    </row>
    <row r="41" spans="2:6" ht="15.75">
      <c r="B41" s="90"/>
      <c r="C41" s="95"/>
      <c r="D41" s="96" t="s">
        <v>117</v>
      </c>
      <c r="E41" s="101" t="s">
        <v>111</v>
      </c>
      <c r="F41" s="94" t="s">
        <v>72</v>
      </c>
    </row>
    <row r="42" spans="2:6" ht="15.75">
      <c r="B42" s="90"/>
      <c r="C42" s="95"/>
      <c r="D42" s="96" t="s">
        <v>118</v>
      </c>
      <c r="E42" s="101" t="s">
        <v>111</v>
      </c>
      <c r="F42" s="94" t="s">
        <v>72</v>
      </c>
    </row>
    <row r="43" spans="2:6" ht="15.75">
      <c r="B43" s="90"/>
      <c r="C43" s="95"/>
      <c r="D43" s="96" t="s">
        <v>119</v>
      </c>
      <c r="E43" s="101" t="s">
        <v>111</v>
      </c>
      <c r="F43" s="94" t="s">
        <v>72</v>
      </c>
    </row>
    <row r="44" spans="2:6" ht="15.75">
      <c r="B44" s="90"/>
      <c r="C44" s="95"/>
      <c r="D44" s="103" t="s">
        <v>120</v>
      </c>
      <c r="E44" s="99" t="s">
        <v>121</v>
      </c>
      <c r="F44" s="94" t="s">
        <v>79</v>
      </c>
    </row>
    <row r="45" spans="2:6" ht="15.75">
      <c r="B45" s="90"/>
      <c r="C45" s="95"/>
      <c r="D45" s="103" t="s">
        <v>122</v>
      </c>
      <c r="E45" s="99" t="s">
        <v>121</v>
      </c>
      <c r="F45" s="94" t="s">
        <v>79</v>
      </c>
    </row>
    <row r="46" spans="2:6" ht="15.75">
      <c r="B46" s="90"/>
      <c r="C46" s="95"/>
      <c r="D46" s="103" t="s">
        <v>123</v>
      </c>
      <c r="E46" s="99" t="s">
        <v>121</v>
      </c>
      <c r="F46" s="94" t="s">
        <v>81</v>
      </c>
    </row>
    <row r="47" spans="2:6" ht="15.75">
      <c r="B47" s="90"/>
      <c r="C47" s="95"/>
      <c r="D47" s="103" t="s">
        <v>124</v>
      </c>
      <c r="E47" s="99" t="s">
        <v>121</v>
      </c>
      <c r="F47" s="94" t="s">
        <v>81</v>
      </c>
    </row>
    <row r="48" spans="2:6" ht="15.75">
      <c r="B48" s="90"/>
      <c r="C48" s="95"/>
      <c r="D48" s="100" t="s">
        <v>125</v>
      </c>
      <c r="E48" s="99" t="s">
        <v>126</v>
      </c>
      <c r="F48" s="94" t="s">
        <v>79</v>
      </c>
    </row>
    <row r="49" spans="1:6" ht="15.75">
      <c r="B49" s="90"/>
      <c r="C49" s="95"/>
      <c r="D49" s="102" t="s">
        <v>127</v>
      </c>
      <c r="E49" s="99" t="s">
        <v>126</v>
      </c>
      <c r="F49" s="94" t="s">
        <v>81</v>
      </c>
    </row>
    <row r="50" spans="1:6" ht="15.75">
      <c r="B50" s="90"/>
      <c r="C50" s="95"/>
      <c r="D50" s="100" t="s">
        <v>128</v>
      </c>
      <c r="E50" s="99" t="s">
        <v>89</v>
      </c>
      <c r="F50" s="94" t="s">
        <v>79</v>
      </c>
    </row>
    <row r="51" spans="1:6" ht="15.75">
      <c r="B51" s="90"/>
      <c r="C51" s="95"/>
      <c r="D51" s="102" t="s">
        <v>129</v>
      </c>
      <c r="E51" s="99" t="s">
        <v>89</v>
      </c>
      <c r="F51" s="94" t="s">
        <v>81</v>
      </c>
    </row>
    <row r="53" spans="1:6" ht="15.75">
      <c r="A53" s="104"/>
      <c r="B53" s="104"/>
      <c r="C53" s="104"/>
      <c r="D53" s="104"/>
      <c r="E53" s="104"/>
      <c r="F53" s="104"/>
    </row>
    <row r="54" spans="1:6" ht="15.75">
      <c r="A54" s="104"/>
      <c r="B54" s="104"/>
      <c r="C54" s="104"/>
      <c r="D54" s="104"/>
      <c r="E54" s="105" t="s">
        <v>130</v>
      </c>
      <c r="F54" s="105" t="s">
        <v>131</v>
      </c>
    </row>
    <row r="55" spans="1:6" ht="15.75">
      <c r="A55" s="104"/>
      <c r="B55" s="104"/>
      <c r="C55" s="104"/>
      <c r="D55" s="104"/>
      <c r="E55" s="106" t="s">
        <v>132</v>
      </c>
      <c r="F55" s="107" t="s">
        <v>133</v>
      </c>
    </row>
    <row r="56" spans="1:6" ht="15.75">
      <c r="A56" s="104"/>
      <c r="B56" s="104"/>
      <c r="C56" s="104"/>
      <c r="D56" s="104"/>
      <c r="E56" s="106" t="s">
        <v>134</v>
      </c>
      <c r="F56" s="107" t="s">
        <v>133</v>
      </c>
    </row>
    <row r="57" spans="1:6" ht="15.75">
      <c r="A57" s="104"/>
      <c r="B57" s="104"/>
      <c r="C57" s="104"/>
      <c r="D57" s="104"/>
      <c r="E57" s="106" t="s">
        <v>135</v>
      </c>
      <c r="F57" s="107" t="s">
        <v>133</v>
      </c>
    </row>
    <row r="58" spans="1:6" ht="15.75">
      <c r="A58" s="104"/>
      <c r="B58" s="104"/>
      <c r="C58" s="104"/>
      <c r="D58" s="104"/>
      <c r="E58" s="108" t="s">
        <v>136</v>
      </c>
      <c r="F58" s="107" t="s">
        <v>133</v>
      </c>
    </row>
    <row r="59" spans="1:6" ht="15.75">
      <c r="A59" s="104"/>
      <c r="B59" s="104"/>
      <c r="C59" s="104"/>
      <c r="D59" s="104"/>
      <c r="E59" s="106" t="s">
        <v>137</v>
      </c>
      <c r="F59" s="107" t="s">
        <v>133</v>
      </c>
    </row>
    <row r="60" spans="1:6" ht="15.75">
      <c r="A60" s="104"/>
      <c r="B60" s="104"/>
      <c r="C60" s="104"/>
      <c r="D60" s="104"/>
      <c r="E60" s="106" t="s">
        <v>138</v>
      </c>
      <c r="F60" s="107" t="s">
        <v>133</v>
      </c>
    </row>
    <row r="61" spans="1:6" ht="16.5" thickBot="1">
      <c r="A61" s="104"/>
      <c r="B61" s="104"/>
      <c r="C61" s="104"/>
      <c r="D61" s="104"/>
      <c r="E61" s="109" t="s">
        <v>139</v>
      </c>
      <c r="F61" s="110" t="s">
        <v>133</v>
      </c>
    </row>
    <row r="62" spans="1:6" ht="16.5" thickTop="1">
      <c r="A62" s="104"/>
      <c r="B62" s="104"/>
      <c r="C62" s="104"/>
      <c r="D62" s="104"/>
      <c r="E62" s="111" t="s">
        <v>140</v>
      </c>
      <c r="F62" s="112" t="s">
        <v>141</v>
      </c>
    </row>
    <row r="63" spans="1:6" ht="15.75">
      <c r="A63" s="104"/>
      <c r="B63" s="104"/>
      <c r="C63" s="104"/>
      <c r="D63" s="104"/>
      <c r="E63" s="106" t="s">
        <v>142</v>
      </c>
      <c r="F63" s="107" t="s">
        <v>141</v>
      </c>
    </row>
    <row r="64" spans="1:6" ht="15.75">
      <c r="A64" s="104"/>
      <c r="B64" s="104"/>
      <c r="C64" s="104"/>
      <c r="D64" s="104"/>
      <c r="E64" s="106" t="s">
        <v>143</v>
      </c>
      <c r="F64" s="107" t="s">
        <v>141</v>
      </c>
    </row>
    <row r="65" spans="1:6" ht="15.75">
      <c r="A65" s="104"/>
      <c r="B65" s="104"/>
      <c r="C65" s="104"/>
      <c r="D65" s="104"/>
      <c r="E65" s="106" t="s">
        <v>144</v>
      </c>
      <c r="F65" s="107" t="s">
        <v>141</v>
      </c>
    </row>
    <row r="66" spans="1:6" ht="15.75">
      <c r="A66" s="104"/>
      <c r="B66" s="104"/>
      <c r="C66" s="104"/>
      <c r="D66" s="104"/>
      <c r="E66" s="106" t="s">
        <v>145</v>
      </c>
      <c r="F66" s="107" t="s">
        <v>141</v>
      </c>
    </row>
    <row r="67" spans="1:6" ht="15.75">
      <c r="A67" s="104"/>
      <c r="B67" s="104"/>
      <c r="C67" s="104"/>
      <c r="D67" s="104"/>
      <c r="E67" s="106" t="s">
        <v>146</v>
      </c>
      <c r="F67" s="107" t="s">
        <v>141</v>
      </c>
    </row>
    <row r="68" spans="1:6" ht="15.75">
      <c r="A68" s="104"/>
      <c r="B68" s="104"/>
      <c r="C68" s="104"/>
      <c r="D68" s="104"/>
      <c r="F68" s="104"/>
    </row>
    <row r="69" spans="1:6" ht="15.75">
      <c r="A69" s="104"/>
      <c r="B69" s="104"/>
      <c r="C69" s="104"/>
      <c r="D69" s="104"/>
      <c r="F69" s="104"/>
    </row>
    <row r="70" spans="1:6" ht="15.75">
      <c r="A70" s="104"/>
      <c r="B70" s="104"/>
      <c r="C70" s="104"/>
      <c r="D70" s="104"/>
      <c r="F70" s="104"/>
    </row>
  </sheetData>
  <sheetProtection password="C64C" sheet="1" objects="1" scenarios="1" autoFilter="0"/>
  <autoFilter ref="D4:F51" xr:uid="{00000000-0009-0000-0000-000001000000}"/>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pageSetUpPr fitToPage="1"/>
  </sheetPr>
  <dimension ref="B1:DJ47"/>
  <sheetViews>
    <sheetView zoomScale="85" zoomScaleNormal="85" workbookViewId="0">
      <pane xSplit="5" topLeftCell="F1" activePane="topRight" state="frozen"/>
      <selection activeCell="I15" sqref="I15:I24"/>
      <selection pane="topRight" activeCell="I39" sqref="I39"/>
    </sheetView>
  </sheetViews>
  <sheetFormatPr defaultRowHeight="13.5"/>
  <cols>
    <col min="1" max="1" width="1.625" style="113" customWidth="1"/>
    <col min="2" max="3" width="3.625" style="113" customWidth="1"/>
    <col min="4" max="4" width="4.625" style="113" customWidth="1"/>
    <col min="5" max="5" width="7.25" style="113" bestFit="1" customWidth="1"/>
    <col min="6" max="7" width="8.125" style="113" customWidth="1"/>
    <col min="8" max="8" width="14.25" style="113" customWidth="1"/>
    <col min="9" max="9" width="13.875" style="113" bestFit="1" customWidth="1"/>
    <col min="10" max="11" width="19.375" style="113" hidden="1" customWidth="1"/>
    <col min="12" max="12" width="9.75" style="113" hidden="1" customWidth="1"/>
    <col min="13" max="13" width="9.125" style="113" customWidth="1"/>
    <col min="14" max="14" width="8.25" style="113" hidden="1" customWidth="1"/>
    <col min="15" max="17" width="8.125" style="113" customWidth="1"/>
    <col min="18" max="19" width="8.125" style="113" hidden="1" customWidth="1"/>
    <col min="20" max="20" width="11.625" style="113" bestFit="1" customWidth="1"/>
    <col min="21" max="21" width="8.125" style="113" hidden="1" customWidth="1"/>
    <col min="22" max="23" width="8.125" style="113" customWidth="1"/>
    <col min="24" max="24" width="8.125" style="113" hidden="1" customWidth="1"/>
    <col min="25" max="25" width="8.125" style="113" customWidth="1"/>
    <col min="26" max="26" width="8.125" style="113" hidden="1" customWidth="1"/>
    <col min="27" max="27" width="8.125" style="113" customWidth="1"/>
    <col min="28" max="28" width="8.125" style="113" hidden="1" customWidth="1"/>
    <col min="29" max="32" width="8.125" style="113" customWidth="1"/>
    <col min="33" max="40" width="4.625" style="113" customWidth="1"/>
    <col min="41" max="41" width="27.375" style="113" hidden="1" customWidth="1"/>
    <col min="42" max="42" width="25.625" style="113" hidden="1" customWidth="1"/>
    <col min="43" max="43" width="11.625" style="113" customWidth="1"/>
    <col min="44" max="44" width="9" style="113" hidden="1" customWidth="1"/>
    <col min="45" max="46" width="22.75" style="113" hidden="1" customWidth="1"/>
    <col min="47" max="47" width="10.5" style="113" bestFit="1" customWidth="1"/>
    <col min="48" max="48" width="9.5" style="113" bestFit="1" customWidth="1"/>
    <col min="49" max="50" width="9.5" style="113" customWidth="1"/>
    <col min="51" max="51" width="9.5" style="113" bestFit="1" customWidth="1"/>
    <col min="52" max="52" width="13.625" style="113" customWidth="1"/>
    <col min="53" max="53" width="8.125" style="134" customWidth="1"/>
    <col min="54" max="54" width="10.5" style="113" bestFit="1" customWidth="1"/>
    <col min="55" max="55" width="13.75" style="113" customWidth="1"/>
    <col min="56" max="56" width="8.125" style="113" customWidth="1"/>
    <col min="57" max="57" width="10.5" style="113" bestFit="1" customWidth="1"/>
    <col min="58" max="58" width="13.75" style="113" customWidth="1"/>
    <col min="59" max="59" width="8.125" style="113" customWidth="1"/>
    <col min="60" max="60" width="10.5" style="113" bestFit="1" customWidth="1"/>
    <col min="61" max="61" width="13.75" style="113" customWidth="1"/>
    <col min="62" max="62" width="8.125" style="113" customWidth="1"/>
    <col min="63" max="63" width="9.5" style="113" bestFit="1" customWidth="1"/>
    <col min="64" max="64" width="13.75" style="113" customWidth="1"/>
    <col min="65" max="65" width="8.125" style="113" customWidth="1"/>
    <col min="66" max="66" width="9.5" style="113" bestFit="1" customWidth="1"/>
    <col min="67" max="67" width="13.75" style="113" customWidth="1"/>
    <col min="68" max="68" width="8.125" style="113" customWidth="1"/>
    <col min="69" max="69" width="9.5" style="113" bestFit="1" customWidth="1"/>
    <col min="70" max="70" width="13.75" style="113" customWidth="1"/>
    <col min="71" max="71" width="8.125" style="113" customWidth="1"/>
    <col min="72" max="72" width="9.5" style="113" bestFit="1" customWidth="1"/>
    <col min="73" max="73" width="13.75" style="113" customWidth="1"/>
    <col min="74" max="74" width="8.125" style="113" customWidth="1"/>
    <col min="75" max="75" width="9.5" style="113" bestFit="1" customWidth="1"/>
    <col min="76" max="76" width="13.75" style="113" customWidth="1"/>
    <col min="77" max="77" width="8.125" style="113" customWidth="1"/>
    <col min="78" max="78" width="9.5" style="113" bestFit="1" customWidth="1"/>
    <col min="79" max="79" width="13.75" style="113" customWidth="1"/>
    <col min="80" max="80" width="8.125" style="113" customWidth="1"/>
    <col min="81" max="82" width="9" style="113"/>
    <col min="83" max="107" width="4.75" style="115" hidden="1" customWidth="1"/>
    <col min="108" max="108" width="5.5" style="115" hidden="1" customWidth="1"/>
    <col min="109" max="109" width="4.75" style="115" hidden="1" customWidth="1"/>
    <col min="110" max="114" width="4.75" style="113" hidden="1" customWidth="1"/>
    <col min="115" max="122" width="9" style="113"/>
    <col min="123" max="124" width="10.5" style="113" bestFit="1" customWidth="1"/>
    <col min="125" max="16384" width="9" style="113"/>
  </cols>
  <sheetData>
    <row r="1" spans="2:114" ht="14.25" thickBot="1">
      <c r="J1" s="114"/>
      <c r="K1" s="114"/>
      <c r="L1" s="114"/>
      <c r="M1" s="114"/>
      <c r="N1" s="114"/>
      <c r="O1" s="114"/>
      <c r="P1" s="114"/>
      <c r="Q1" s="114"/>
      <c r="R1" s="114"/>
      <c r="S1" s="114"/>
      <c r="T1" s="114"/>
      <c r="U1" s="114"/>
      <c r="V1" s="114"/>
      <c r="W1" s="114"/>
      <c r="X1" s="114"/>
      <c r="Y1" s="114"/>
      <c r="Z1" s="114"/>
      <c r="AA1" s="114"/>
      <c r="AB1" s="114"/>
      <c r="AC1" s="114"/>
      <c r="AD1" s="114"/>
      <c r="AE1" s="114"/>
      <c r="AF1" s="114"/>
      <c r="AG1" s="114"/>
      <c r="AH1" s="114"/>
      <c r="AI1" s="114"/>
      <c r="AJ1" s="114"/>
      <c r="AK1" s="114"/>
      <c r="AL1" s="114"/>
      <c r="AM1" s="114"/>
      <c r="AN1" s="114"/>
      <c r="AO1" s="114"/>
      <c r="AP1" s="114"/>
      <c r="AQ1" s="114"/>
      <c r="AR1" s="114"/>
      <c r="AS1" s="114"/>
      <c r="AT1" s="114"/>
      <c r="AU1" s="114"/>
      <c r="AV1" s="114"/>
      <c r="AW1" s="114"/>
      <c r="AX1" s="114"/>
      <c r="AY1" s="114"/>
      <c r="AZ1" s="114"/>
      <c r="BA1" s="114"/>
      <c r="BB1" s="114"/>
      <c r="BC1" s="114"/>
      <c r="BD1" s="114"/>
      <c r="BE1" s="114"/>
    </row>
    <row r="2" spans="2:114" ht="15" customHeight="1" thickBot="1">
      <c r="B2" s="116"/>
      <c r="C2" s="116"/>
      <c r="D2" s="116"/>
      <c r="E2" s="117"/>
      <c r="F2" s="118" t="s">
        <v>147</v>
      </c>
      <c r="G2" s="479" t="str">
        <f>AW2</f>
        <v>SMC(移行導入)</v>
      </c>
      <c r="H2" s="479"/>
      <c r="I2" s="479"/>
      <c r="J2" s="479"/>
      <c r="K2" s="479"/>
      <c r="L2" s="479"/>
      <c r="M2" s="479"/>
      <c r="N2" s="479"/>
      <c r="O2" s="479"/>
      <c r="P2" s="119"/>
      <c r="Q2" s="119"/>
      <c r="R2" s="119"/>
      <c r="S2" s="119"/>
      <c r="T2" s="119"/>
      <c r="U2" s="117"/>
      <c r="V2" s="117"/>
      <c r="W2" s="117"/>
      <c r="X2" s="117"/>
      <c r="Y2" s="117"/>
      <c r="Z2" s="117"/>
      <c r="AA2" s="117"/>
      <c r="AB2" s="117"/>
      <c r="AC2" s="117"/>
      <c r="AD2" s="117"/>
      <c r="AE2" s="116"/>
      <c r="AF2" s="116"/>
      <c r="AL2" s="116"/>
      <c r="AM2" s="119"/>
      <c r="AN2" s="120"/>
      <c r="AO2" s="121"/>
      <c r="AP2" s="480" t="s">
        <v>148</v>
      </c>
      <c r="AQ2" s="480"/>
      <c r="AR2" s="480"/>
      <c r="AS2" s="482">
        <v>2.1</v>
      </c>
      <c r="AT2" s="482"/>
      <c r="AV2" s="122" t="s">
        <v>149</v>
      </c>
      <c r="AW2" s="484" t="s">
        <v>608</v>
      </c>
      <c r="AX2" s="485"/>
      <c r="AY2" s="485"/>
      <c r="AZ2" s="485"/>
      <c r="BA2" s="485"/>
      <c r="BB2" s="486"/>
      <c r="BC2" s="122" t="s">
        <v>3</v>
      </c>
      <c r="BD2" s="487">
        <v>44652</v>
      </c>
      <c r="BE2" s="488"/>
      <c r="CD2" s="115"/>
      <c r="DE2" s="113"/>
    </row>
    <row r="3" spans="2:114" ht="15" customHeight="1" thickBot="1">
      <c r="B3" s="116"/>
      <c r="C3" s="116"/>
      <c r="D3" s="116"/>
      <c r="E3" s="123"/>
      <c r="F3" s="118" t="s">
        <v>150</v>
      </c>
      <c r="G3" s="489" t="str">
        <f>AW3</f>
        <v>k001446</v>
      </c>
      <c r="H3" s="489"/>
      <c r="I3" s="490"/>
      <c r="J3" s="124" t="s">
        <v>151</v>
      </c>
      <c r="K3" s="491" t="str">
        <f>AY3</f>
        <v>伊藤　毅之</v>
      </c>
      <c r="L3" s="491"/>
      <c r="M3" s="125" t="s">
        <v>152</v>
      </c>
      <c r="N3" s="479" t="str">
        <f>BB3</f>
        <v>一般</v>
      </c>
      <c r="O3" s="479"/>
      <c r="P3" s="126"/>
      <c r="Q3" s="127"/>
      <c r="R3" s="127"/>
      <c r="S3" s="127"/>
      <c r="T3" s="123"/>
      <c r="U3" s="123"/>
      <c r="V3" s="123"/>
      <c r="W3" s="123"/>
      <c r="X3" s="123"/>
      <c r="Y3" s="123"/>
      <c r="Z3" s="123"/>
      <c r="AA3" s="123"/>
      <c r="AB3" s="123"/>
      <c r="AC3" s="123"/>
      <c r="AD3" s="123"/>
      <c r="AE3" s="116"/>
      <c r="AF3" s="116"/>
      <c r="AL3" s="116"/>
      <c r="AM3" s="120"/>
      <c r="AN3" s="127"/>
      <c r="AO3" s="121"/>
      <c r="AP3" s="481"/>
      <c r="AQ3" s="481"/>
      <c r="AR3" s="481"/>
      <c r="AS3" s="483"/>
      <c r="AT3" s="483"/>
      <c r="AV3" s="128" t="s">
        <v>7</v>
      </c>
      <c r="AW3" s="129" t="s">
        <v>647</v>
      </c>
      <c r="AX3" s="130" t="s">
        <v>153</v>
      </c>
      <c r="AY3" s="492" t="s">
        <v>648</v>
      </c>
      <c r="AZ3" s="493"/>
      <c r="BA3" s="130" t="s">
        <v>154</v>
      </c>
      <c r="BB3" s="131" t="s">
        <v>645</v>
      </c>
      <c r="BC3" s="122" t="s">
        <v>10</v>
      </c>
      <c r="BD3" s="487">
        <v>44681</v>
      </c>
      <c r="BE3" s="488"/>
      <c r="CD3" s="115"/>
      <c r="DE3" s="113"/>
    </row>
    <row r="4" spans="2:114" ht="14.25" thickBot="1">
      <c r="C4" s="132"/>
      <c r="D4" s="132"/>
      <c r="E4" s="132"/>
      <c r="F4" s="133"/>
      <c r="G4" s="133"/>
      <c r="H4" s="132"/>
      <c r="I4" s="132"/>
      <c r="J4" s="132"/>
      <c r="K4" s="132"/>
      <c r="L4" s="132"/>
      <c r="P4" s="121"/>
      <c r="Q4" s="121"/>
      <c r="R4" s="121"/>
      <c r="S4" s="121"/>
      <c r="T4" s="121"/>
      <c r="U4" s="121"/>
      <c r="V4" s="121"/>
      <c r="W4" s="121"/>
      <c r="X4" s="121"/>
      <c r="Y4" s="121"/>
      <c r="Z4" s="121"/>
      <c r="AA4" s="121"/>
      <c r="AB4" s="121"/>
      <c r="AC4" s="121"/>
      <c r="AD4" s="121"/>
      <c r="AE4" s="121"/>
    </row>
    <row r="5" spans="2:114" ht="13.5" customHeight="1">
      <c r="B5" s="496" t="s">
        <v>155</v>
      </c>
      <c r="C5" s="498" t="s">
        <v>156</v>
      </c>
      <c r="D5" s="500" t="s">
        <v>157</v>
      </c>
      <c r="E5" s="502" t="s">
        <v>158</v>
      </c>
      <c r="F5" s="504" t="s">
        <v>159</v>
      </c>
      <c r="G5" s="506" t="s">
        <v>160</v>
      </c>
      <c r="H5" s="508" t="s">
        <v>161</v>
      </c>
      <c r="I5" s="509"/>
      <c r="J5" s="510" t="s">
        <v>162</v>
      </c>
      <c r="K5" s="511"/>
      <c r="L5" s="135" t="s">
        <v>163</v>
      </c>
      <c r="M5" s="136" t="s">
        <v>164</v>
      </c>
      <c r="N5" s="512" t="s">
        <v>165</v>
      </c>
      <c r="O5" s="513"/>
      <c r="P5" s="513"/>
      <c r="Q5" s="513"/>
      <c r="R5" s="513"/>
      <c r="S5" s="513"/>
      <c r="T5" s="514"/>
      <c r="U5" s="515" t="s">
        <v>166</v>
      </c>
      <c r="V5" s="515"/>
      <c r="W5" s="515"/>
      <c r="X5" s="515"/>
      <c r="Y5" s="515"/>
      <c r="Z5" s="515"/>
      <c r="AA5" s="515"/>
      <c r="AB5" s="512"/>
      <c r="AC5" s="137"/>
      <c r="AD5" s="494" t="s">
        <v>167</v>
      </c>
      <c r="AE5" s="516"/>
      <c r="AF5" s="516"/>
      <c r="AG5" s="494" t="s">
        <v>42</v>
      </c>
      <c r="AH5" s="495"/>
      <c r="AI5" s="519" t="s">
        <v>43</v>
      </c>
      <c r="AJ5" s="495"/>
      <c r="AK5" s="519" t="s">
        <v>44</v>
      </c>
      <c r="AL5" s="495"/>
      <c r="AM5" s="519" t="s">
        <v>45</v>
      </c>
      <c r="AN5" s="520"/>
      <c r="AO5" s="521" t="s">
        <v>168</v>
      </c>
      <c r="AP5" s="521" t="s">
        <v>169</v>
      </c>
      <c r="AQ5" s="517" t="s">
        <v>170</v>
      </c>
      <c r="AR5" s="517" t="s">
        <v>171</v>
      </c>
      <c r="AS5" s="510" t="s">
        <v>172</v>
      </c>
      <c r="AT5" s="523"/>
      <c r="AU5" s="138" t="s">
        <v>163</v>
      </c>
      <c r="AV5" s="524" t="s">
        <v>159</v>
      </c>
      <c r="AW5" s="526" t="s">
        <v>173</v>
      </c>
      <c r="AX5" s="528" t="s">
        <v>174</v>
      </c>
      <c r="AY5" s="517" t="s">
        <v>175</v>
      </c>
      <c r="AZ5" s="139" t="s">
        <v>176</v>
      </c>
      <c r="BA5" s="140"/>
      <c r="BB5" s="140"/>
      <c r="BC5" s="140"/>
      <c r="BD5" s="140"/>
      <c r="BE5" s="140"/>
      <c r="BF5" s="140"/>
      <c r="BG5" s="140"/>
      <c r="BH5" s="140"/>
      <c r="BI5" s="140"/>
      <c r="BJ5" s="140"/>
      <c r="BK5" s="140"/>
      <c r="BL5" s="140"/>
      <c r="BM5" s="140"/>
      <c r="BN5" s="140"/>
      <c r="BO5" s="140"/>
      <c r="BP5" s="140"/>
      <c r="BQ5" s="140"/>
      <c r="BR5" s="140"/>
      <c r="BS5" s="140"/>
      <c r="BT5" s="140"/>
      <c r="BU5" s="140"/>
      <c r="BV5" s="140"/>
      <c r="BW5" s="140"/>
      <c r="BX5" s="140"/>
      <c r="BY5" s="140"/>
      <c r="BZ5" s="140"/>
      <c r="CA5" s="140"/>
      <c r="CB5" s="140"/>
      <c r="CC5" s="141"/>
      <c r="CD5" s="142"/>
    </row>
    <row r="6" spans="2:114" ht="41.25" thickBot="1">
      <c r="B6" s="497"/>
      <c r="C6" s="499"/>
      <c r="D6" s="501"/>
      <c r="E6" s="503"/>
      <c r="F6" s="505"/>
      <c r="G6" s="507"/>
      <c r="H6" s="143" t="s">
        <v>177</v>
      </c>
      <c r="I6" s="144" t="s">
        <v>178</v>
      </c>
      <c r="J6" s="145" t="s">
        <v>179</v>
      </c>
      <c r="K6" s="146" t="s">
        <v>180</v>
      </c>
      <c r="L6" s="147" t="s">
        <v>181</v>
      </c>
      <c r="M6" s="148" t="s">
        <v>182</v>
      </c>
      <c r="N6" s="149" t="s">
        <v>183</v>
      </c>
      <c r="O6" s="150" t="s">
        <v>184</v>
      </c>
      <c r="P6" s="150" t="s">
        <v>185</v>
      </c>
      <c r="Q6" s="149" t="s">
        <v>186</v>
      </c>
      <c r="R6" s="149" t="s">
        <v>187</v>
      </c>
      <c r="S6" s="149" t="s">
        <v>188</v>
      </c>
      <c r="T6" s="149" t="s">
        <v>189</v>
      </c>
      <c r="U6" s="149" t="s">
        <v>190</v>
      </c>
      <c r="V6" s="149" t="s">
        <v>191</v>
      </c>
      <c r="W6" s="149" t="s">
        <v>192</v>
      </c>
      <c r="X6" s="149" t="s">
        <v>193</v>
      </c>
      <c r="Y6" s="149" t="s">
        <v>194</v>
      </c>
      <c r="Z6" s="149" t="s">
        <v>195</v>
      </c>
      <c r="AA6" s="151" t="s">
        <v>196</v>
      </c>
      <c r="AB6" s="152" t="s">
        <v>197</v>
      </c>
      <c r="AC6" s="153" t="s">
        <v>198</v>
      </c>
      <c r="AD6" s="154" t="s">
        <v>199</v>
      </c>
      <c r="AE6" s="155" t="s">
        <v>200</v>
      </c>
      <c r="AF6" s="156" t="s">
        <v>201</v>
      </c>
      <c r="AG6" s="157" t="s">
        <v>202</v>
      </c>
      <c r="AH6" s="158" t="s">
        <v>203</v>
      </c>
      <c r="AI6" s="159" t="s">
        <v>202</v>
      </c>
      <c r="AJ6" s="158" t="s">
        <v>50</v>
      </c>
      <c r="AK6" s="159" t="s">
        <v>51</v>
      </c>
      <c r="AL6" s="158" t="s">
        <v>52</v>
      </c>
      <c r="AM6" s="159" t="s">
        <v>51</v>
      </c>
      <c r="AN6" s="160" t="s">
        <v>52</v>
      </c>
      <c r="AO6" s="522"/>
      <c r="AP6" s="522"/>
      <c r="AQ6" s="518"/>
      <c r="AR6" s="518"/>
      <c r="AS6" s="145" t="s">
        <v>179</v>
      </c>
      <c r="AT6" s="161" t="s">
        <v>180</v>
      </c>
      <c r="AU6" s="162" t="s">
        <v>181</v>
      </c>
      <c r="AV6" s="525"/>
      <c r="AW6" s="527"/>
      <c r="AX6" s="518"/>
      <c r="AY6" s="518"/>
      <c r="AZ6" s="163" t="s">
        <v>204</v>
      </c>
      <c r="BA6" s="164" t="s">
        <v>205</v>
      </c>
      <c r="BB6" s="165" t="s">
        <v>181</v>
      </c>
      <c r="BC6" s="163" t="s">
        <v>206</v>
      </c>
      <c r="BD6" s="164" t="s">
        <v>205</v>
      </c>
      <c r="BE6" s="165" t="s">
        <v>181</v>
      </c>
      <c r="BF6" s="163" t="s">
        <v>207</v>
      </c>
      <c r="BG6" s="164" t="s">
        <v>205</v>
      </c>
      <c r="BH6" s="165" t="s">
        <v>181</v>
      </c>
      <c r="BI6" s="159" t="s">
        <v>206</v>
      </c>
      <c r="BJ6" s="164" t="s">
        <v>205</v>
      </c>
      <c r="BK6" s="165" t="s">
        <v>181</v>
      </c>
      <c r="BL6" s="159" t="s">
        <v>207</v>
      </c>
      <c r="BM6" s="164" t="s">
        <v>205</v>
      </c>
      <c r="BN6" s="165" t="s">
        <v>181</v>
      </c>
      <c r="BO6" s="159" t="s">
        <v>207</v>
      </c>
      <c r="BP6" s="164" t="s">
        <v>205</v>
      </c>
      <c r="BQ6" s="165" t="s">
        <v>181</v>
      </c>
      <c r="BR6" s="159" t="s">
        <v>207</v>
      </c>
      <c r="BS6" s="164" t="s">
        <v>205</v>
      </c>
      <c r="BT6" s="165" t="s">
        <v>181</v>
      </c>
      <c r="BU6" s="159" t="s">
        <v>207</v>
      </c>
      <c r="BV6" s="164" t="s">
        <v>205</v>
      </c>
      <c r="BW6" s="165" t="s">
        <v>181</v>
      </c>
      <c r="BX6" s="159" t="s">
        <v>207</v>
      </c>
      <c r="BY6" s="164" t="s">
        <v>205</v>
      </c>
      <c r="BZ6" s="165" t="s">
        <v>181</v>
      </c>
      <c r="CA6" s="159" t="s">
        <v>207</v>
      </c>
      <c r="CB6" s="164" t="s">
        <v>205</v>
      </c>
      <c r="CC6" s="166" t="s">
        <v>181</v>
      </c>
      <c r="CD6" s="142"/>
      <c r="CE6" s="115" t="s">
        <v>208</v>
      </c>
    </row>
    <row r="7" spans="2:114">
      <c r="B7" s="167">
        <f>BD2</f>
        <v>44652</v>
      </c>
      <c r="C7" s="168">
        <f t="shared" ref="C7:C45" si="0">B7</f>
        <v>44652</v>
      </c>
      <c r="D7" s="169" t="str">
        <f t="shared" ref="D7:D45" si="1">TEXT($B7,"aaa")</f>
        <v>金</v>
      </c>
      <c r="E7" s="170" t="str">
        <f t="shared" ref="E7:E45" si="2">IF(NOT(ISERROR(MATCH($C7,祝日テーブル,0)=TRUE)),IF($D7="日","法定","法定外"),IF($D7="日","法定",IF($D7="土","法定外","")))</f>
        <v/>
      </c>
      <c r="F7" s="171">
        <f t="shared" ref="F7:G45" si="3">AV7</f>
        <v>0.375</v>
      </c>
      <c r="G7" s="172">
        <f t="shared" si="3"/>
        <v>0.73958333333333337</v>
      </c>
      <c r="H7" s="173"/>
      <c r="I7" s="174"/>
      <c r="J7" s="175" t="str">
        <f t="shared" ref="J7:L45" si="4">IF(AS7="","",AS7)</f>
        <v/>
      </c>
      <c r="K7" s="176" t="str">
        <f t="shared" si="4"/>
        <v/>
      </c>
      <c r="L7" s="177" t="str">
        <f t="shared" si="4"/>
        <v/>
      </c>
      <c r="M7" s="178">
        <f t="shared" ref="M7:AB22" si="5">SUMIF($CP7:$CY7,M$6,$DA7:$DJ7)</f>
        <v>0.32291666666666669</v>
      </c>
      <c r="N7" s="179">
        <f t="shared" si="5"/>
        <v>0</v>
      </c>
      <c r="O7" s="180">
        <f t="shared" si="5"/>
        <v>0</v>
      </c>
      <c r="P7" s="180">
        <f t="shared" si="5"/>
        <v>0</v>
      </c>
      <c r="Q7" s="180">
        <f t="shared" si="5"/>
        <v>0</v>
      </c>
      <c r="R7" s="180">
        <f t="shared" si="5"/>
        <v>0</v>
      </c>
      <c r="S7" s="180">
        <f t="shared" si="5"/>
        <v>0</v>
      </c>
      <c r="T7" s="180">
        <f t="shared" si="5"/>
        <v>0</v>
      </c>
      <c r="U7" s="180">
        <f t="shared" si="5"/>
        <v>0</v>
      </c>
      <c r="V7" s="180">
        <f t="shared" si="5"/>
        <v>0</v>
      </c>
      <c r="W7" s="180">
        <f t="shared" si="5"/>
        <v>0</v>
      </c>
      <c r="X7" s="180">
        <f t="shared" si="5"/>
        <v>0</v>
      </c>
      <c r="Y7" s="180">
        <f t="shared" si="5"/>
        <v>0</v>
      </c>
      <c r="Z7" s="180">
        <f t="shared" si="5"/>
        <v>0</v>
      </c>
      <c r="AA7" s="181">
        <f t="shared" si="5"/>
        <v>0</v>
      </c>
      <c r="AB7" s="181">
        <f t="shared" si="5"/>
        <v>0</v>
      </c>
      <c r="AC7" s="182">
        <f t="shared" ref="W7:AC22" si="6">SUMIF($CP7:$CY7,AC$6,$DA7:$DJ7)</f>
        <v>0</v>
      </c>
      <c r="AD7" s="183">
        <f>((M7*100)+(N7*100)+(O7*100)+(P7*100)+(T7*100))/100</f>
        <v>0.32291666666666674</v>
      </c>
      <c r="AE7" s="184">
        <f>((N7*100)+(O7*100)+(P7*100)+(T7*100))/100</f>
        <v>0</v>
      </c>
      <c r="AF7" s="185">
        <f>AE7</f>
        <v>0</v>
      </c>
      <c r="AG7" s="186"/>
      <c r="AH7" s="187"/>
      <c r="AI7" s="188"/>
      <c r="AJ7" s="189"/>
      <c r="AK7" s="188"/>
      <c r="AL7" s="189"/>
      <c r="AM7" s="188"/>
      <c r="AN7" s="190"/>
      <c r="AO7" s="191" t="s">
        <v>651</v>
      </c>
      <c r="AP7" s="192"/>
      <c r="AQ7" s="193"/>
      <c r="AR7" s="194"/>
      <c r="AS7" s="195"/>
      <c r="AT7" s="195"/>
      <c r="AU7" s="196"/>
      <c r="AV7" s="197">
        <v>0.375</v>
      </c>
      <c r="AW7" s="198">
        <v>0.73958333333333337</v>
      </c>
      <c r="AX7" s="199">
        <f>IF(AND(AV7&lt;&gt;"",AW7&lt;&gt;""),IF(TIMEVALUE("7:45") &lt;= (AW7-AV7), (AW7-AV7) - TIMEVALUE("1:00"), (AW7-AV7)), 0)</f>
        <v>0.32291666666666669</v>
      </c>
      <c r="AY7" s="200">
        <f>M7+N7+O7+P7+T7+U7+V7+W7+X7+Y7+Z7+AA7+AB7+AC7</f>
        <v>0.32291666666666669</v>
      </c>
      <c r="AZ7" s="201" t="s">
        <v>649</v>
      </c>
      <c r="BA7" s="202" t="s">
        <v>121</v>
      </c>
      <c r="BB7" s="203">
        <v>0.32291666666666669</v>
      </c>
      <c r="BC7" s="201"/>
      <c r="BD7" s="202" t="s">
        <v>464</v>
      </c>
      <c r="BE7" s="203"/>
      <c r="BF7" s="204"/>
      <c r="BG7" s="202" t="s">
        <v>464</v>
      </c>
      <c r="BH7" s="203"/>
      <c r="BI7" s="201"/>
      <c r="BJ7" s="202" t="s">
        <v>464</v>
      </c>
      <c r="BK7" s="203"/>
      <c r="BL7" s="205"/>
      <c r="BM7" s="202" t="s">
        <v>464</v>
      </c>
      <c r="BN7" s="203"/>
      <c r="BO7" s="205"/>
      <c r="BP7" s="202" t="s">
        <v>464</v>
      </c>
      <c r="BQ7" s="203"/>
      <c r="BR7" s="205"/>
      <c r="BS7" s="202" t="s">
        <v>464</v>
      </c>
      <c r="BT7" s="203"/>
      <c r="BU7" s="205"/>
      <c r="BV7" s="202" t="s">
        <v>464</v>
      </c>
      <c r="BW7" s="203"/>
      <c r="BX7" s="205"/>
      <c r="BY7" s="202" t="s">
        <v>464</v>
      </c>
      <c r="BZ7" s="203"/>
      <c r="CA7" s="205"/>
      <c r="CB7" s="202" t="s">
        <v>464</v>
      </c>
      <c r="CC7" s="203"/>
      <c r="CD7" s="142"/>
      <c r="CE7" s="115" t="str">
        <f t="shared" ref="CE7:CE45" si="7">AZ7</f>
        <v>PR-233320101</v>
      </c>
      <c r="CF7" s="115">
        <f t="shared" ref="CF7:CF45" si="8">BC7</f>
        <v>0</v>
      </c>
      <c r="CG7" s="115">
        <f t="shared" ref="CG7:CG45" si="9">BF7</f>
        <v>0</v>
      </c>
      <c r="CH7" s="206">
        <f t="shared" ref="CH7:CH45" si="10">BI7</f>
        <v>0</v>
      </c>
      <c r="CI7" s="206">
        <f t="shared" ref="CI7:CI45" si="11">BL7</f>
        <v>0</v>
      </c>
      <c r="CJ7" s="206">
        <f t="shared" ref="CJ7:CJ45" si="12">BO7</f>
        <v>0</v>
      </c>
      <c r="CK7" s="206">
        <f t="shared" ref="CK7:CK45" si="13">BR7</f>
        <v>0</v>
      </c>
      <c r="CL7" s="206">
        <f t="shared" ref="CL7:CL45" si="14">BU7</f>
        <v>0</v>
      </c>
      <c r="CM7" s="206">
        <f t="shared" ref="CM7:CM45" si="15">BX7</f>
        <v>0</v>
      </c>
      <c r="CN7" s="206">
        <f t="shared" ref="CN7:CN45" si="16">CA7</f>
        <v>0</v>
      </c>
      <c r="CP7" s="115" t="str">
        <f t="shared" ref="CP7:CP45" si="17">BA7</f>
        <v>1.00</v>
      </c>
      <c r="CQ7" s="115" t="str">
        <f t="shared" ref="CQ7:CQ45" si="18">BD7</f>
        <v/>
      </c>
      <c r="CR7" s="115" t="str">
        <f t="shared" ref="CR7:CR45" si="19">BG7</f>
        <v/>
      </c>
      <c r="CS7" s="206" t="str">
        <f t="shared" ref="CS7:CS45" si="20">BJ7</f>
        <v/>
      </c>
      <c r="CT7" s="206" t="str">
        <f t="shared" ref="CT7:CT45" si="21">BM7</f>
        <v/>
      </c>
      <c r="CU7" s="206" t="str">
        <f t="shared" ref="CU7:CU45" si="22">BP7</f>
        <v/>
      </c>
      <c r="CV7" s="206" t="str">
        <f t="shared" ref="CV7:CV45" si="23">BS7</f>
        <v/>
      </c>
      <c r="CW7" s="206" t="str">
        <f t="shared" ref="CW7:CW45" si="24">BV7</f>
        <v/>
      </c>
      <c r="CX7" s="206" t="str">
        <f t="shared" ref="CX7:CX45" si="25">BY7</f>
        <v/>
      </c>
      <c r="CY7" s="206" t="str">
        <f t="shared" ref="CY7:CY45" si="26">CB7</f>
        <v/>
      </c>
      <c r="DA7" s="115">
        <f t="shared" ref="DA7:DA45" si="27">BB7</f>
        <v>0.32291666666666669</v>
      </c>
      <c r="DB7" s="115">
        <f t="shared" ref="DB7:DB45" si="28">BE7</f>
        <v>0</v>
      </c>
      <c r="DC7" s="115">
        <f t="shared" ref="DC7:DC45" si="29">BH7</f>
        <v>0</v>
      </c>
      <c r="DD7" s="115">
        <f t="shared" ref="DD7:DD45" si="30">BK7</f>
        <v>0</v>
      </c>
      <c r="DE7" s="115">
        <f t="shared" ref="DE7:DE45" si="31">BN7</f>
        <v>0</v>
      </c>
      <c r="DF7" s="115">
        <f t="shared" ref="DF7:DF45" si="32">BQ7</f>
        <v>0</v>
      </c>
      <c r="DG7" s="115">
        <f t="shared" ref="DG7:DG45" si="33">BT7</f>
        <v>0</v>
      </c>
      <c r="DH7" s="115">
        <f t="shared" ref="DH7:DH45" si="34">BW7</f>
        <v>0</v>
      </c>
      <c r="DI7" s="115">
        <f t="shared" ref="DI7:DI45" si="35">BZ7</f>
        <v>0</v>
      </c>
      <c r="DJ7" s="115">
        <f t="shared" ref="DJ7:DJ45" si="36">CC7</f>
        <v>0</v>
      </c>
    </row>
    <row r="8" spans="2:114">
      <c r="B8" s="167">
        <f t="shared" ref="B8:B45" si="37">B7+1</f>
        <v>44653</v>
      </c>
      <c r="C8" s="168">
        <f t="shared" si="0"/>
        <v>44653</v>
      </c>
      <c r="D8" s="169" t="str">
        <f t="shared" si="1"/>
        <v>土</v>
      </c>
      <c r="E8" s="170" t="str">
        <f t="shared" si="2"/>
        <v>法定外</v>
      </c>
      <c r="F8" s="207">
        <f t="shared" si="3"/>
        <v>0</v>
      </c>
      <c r="G8" s="208">
        <f t="shared" si="3"/>
        <v>0</v>
      </c>
      <c r="H8" s="173"/>
      <c r="I8" s="209"/>
      <c r="J8" s="210" t="str">
        <f t="shared" si="4"/>
        <v/>
      </c>
      <c r="K8" s="211" t="str">
        <f t="shared" si="4"/>
        <v/>
      </c>
      <c r="L8" s="212" t="str">
        <f t="shared" si="4"/>
        <v/>
      </c>
      <c r="M8" s="178">
        <f t="shared" si="5"/>
        <v>0</v>
      </c>
      <c r="N8" s="179">
        <f t="shared" si="5"/>
        <v>0</v>
      </c>
      <c r="O8" s="179">
        <f t="shared" si="5"/>
        <v>0</v>
      </c>
      <c r="P8" s="179">
        <f t="shared" si="5"/>
        <v>0</v>
      </c>
      <c r="Q8" s="179">
        <f t="shared" si="5"/>
        <v>0</v>
      </c>
      <c r="R8" s="179">
        <f t="shared" si="5"/>
        <v>0</v>
      </c>
      <c r="S8" s="179">
        <f t="shared" si="5"/>
        <v>0</v>
      </c>
      <c r="T8" s="179">
        <f t="shared" si="5"/>
        <v>0</v>
      </c>
      <c r="U8" s="179">
        <f t="shared" si="5"/>
        <v>0</v>
      </c>
      <c r="V8" s="179">
        <f t="shared" si="5"/>
        <v>0</v>
      </c>
      <c r="W8" s="179">
        <f t="shared" si="6"/>
        <v>0</v>
      </c>
      <c r="X8" s="179">
        <f t="shared" si="6"/>
        <v>0</v>
      </c>
      <c r="Y8" s="179">
        <f t="shared" si="6"/>
        <v>0</v>
      </c>
      <c r="Z8" s="179">
        <f t="shared" si="6"/>
        <v>0</v>
      </c>
      <c r="AA8" s="213">
        <f t="shared" si="6"/>
        <v>0</v>
      </c>
      <c r="AB8" s="213">
        <f t="shared" si="6"/>
        <v>0</v>
      </c>
      <c r="AC8" s="214">
        <f t="shared" si="6"/>
        <v>0</v>
      </c>
      <c r="AD8" s="215">
        <f t="shared" ref="AD8:AD45" si="38">((M8*100)+(N8*100)+(O8*100)+(P8*100)+(T8*100))/100</f>
        <v>0</v>
      </c>
      <c r="AE8" s="216">
        <f>((N8*100)+(O8*100)+(P8*100)+(T8*100))/100</f>
        <v>0</v>
      </c>
      <c r="AF8" s="217">
        <f>(AF7*100+AE8*100)/100</f>
        <v>0</v>
      </c>
      <c r="AG8" s="218"/>
      <c r="AH8" s="219"/>
      <c r="AI8" s="220"/>
      <c r="AJ8" s="219"/>
      <c r="AK8" s="220"/>
      <c r="AL8" s="219"/>
      <c r="AM8" s="220"/>
      <c r="AN8" s="221"/>
      <c r="AO8" s="222"/>
      <c r="AP8" s="223"/>
      <c r="AQ8" s="224"/>
      <c r="AR8" s="225"/>
      <c r="AS8" s="226"/>
      <c r="AT8" s="226"/>
      <c r="AU8" s="227"/>
      <c r="AV8" s="228"/>
      <c r="AW8" s="198"/>
      <c r="AX8" s="229">
        <f t="shared" ref="AX8:AX45" si="39">IF(AND(AV8&lt;&gt;"",AW8&lt;&gt;""),IF(TIMEVALUE("7:45") &lt;= (AW8-AV8), (AW8-AV8) - TIMEVALUE("1:00"), (AW8-AV8)), 0)</f>
        <v>0</v>
      </c>
      <c r="AY8" s="230">
        <f t="shared" ref="AY8:AY45" si="40">M8+N8+O8+P8+T8+U8+V8+W8+X8+Y8+Z8+AA8+AB8+AC8</f>
        <v>0</v>
      </c>
      <c r="AZ8" s="201"/>
      <c r="BA8" s="202"/>
      <c r="BB8" s="203"/>
      <c r="BC8" s="201"/>
      <c r="BD8" s="202"/>
      <c r="BE8" s="203"/>
      <c r="BF8" s="201"/>
      <c r="BG8" s="202"/>
      <c r="BH8" s="203"/>
      <c r="BI8" s="201"/>
      <c r="BJ8" s="202"/>
      <c r="BK8" s="203"/>
      <c r="BL8" s="201"/>
      <c r="BM8" s="202"/>
      <c r="BN8" s="203"/>
      <c r="BO8" s="201"/>
      <c r="BP8" s="202"/>
      <c r="BQ8" s="203"/>
      <c r="BR8" s="201"/>
      <c r="BS8" s="202"/>
      <c r="BT8" s="203"/>
      <c r="BU8" s="201"/>
      <c r="BV8" s="202"/>
      <c r="BW8" s="203"/>
      <c r="BX8" s="201"/>
      <c r="BY8" s="202"/>
      <c r="BZ8" s="203"/>
      <c r="CA8" s="201"/>
      <c r="CB8" s="202"/>
      <c r="CC8" s="203"/>
      <c r="CD8" s="142"/>
      <c r="CE8" s="115">
        <f t="shared" si="7"/>
        <v>0</v>
      </c>
      <c r="CF8" s="115">
        <f t="shared" si="8"/>
        <v>0</v>
      </c>
      <c r="CG8" s="115">
        <f t="shared" si="9"/>
        <v>0</v>
      </c>
      <c r="CH8" s="115">
        <f t="shared" si="10"/>
        <v>0</v>
      </c>
      <c r="CI8" s="115">
        <f t="shared" si="11"/>
        <v>0</v>
      </c>
      <c r="CJ8" s="115">
        <f t="shared" si="12"/>
        <v>0</v>
      </c>
      <c r="CK8" s="115">
        <f t="shared" si="13"/>
        <v>0</v>
      </c>
      <c r="CL8" s="115">
        <f t="shared" si="14"/>
        <v>0</v>
      </c>
      <c r="CM8" s="115">
        <f t="shared" si="15"/>
        <v>0</v>
      </c>
      <c r="CN8" s="115">
        <f t="shared" si="16"/>
        <v>0</v>
      </c>
      <c r="CP8" s="115">
        <f t="shared" si="17"/>
        <v>0</v>
      </c>
      <c r="CQ8" s="115">
        <f t="shared" si="18"/>
        <v>0</v>
      </c>
      <c r="CR8" s="115">
        <f t="shared" si="19"/>
        <v>0</v>
      </c>
      <c r="CS8" s="115">
        <f t="shared" si="20"/>
        <v>0</v>
      </c>
      <c r="CT8" s="115">
        <f t="shared" si="21"/>
        <v>0</v>
      </c>
      <c r="CU8" s="115">
        <f t="shared" si="22"/>
        <v>0</v>
      </c>
      <c r="CV8" s="115">
        <f t="shared" si="23"/>
        <v>0</v>
      </c>
      <c r="CW8" s="115">
        <f t="shared" si="24"/>
        <v>0</v>
      </c>
      <c r="CX8" s="115">
        <f t="shared" si="25"/>
        <v>0</v>
      </c>
      <c r="CY8" s="115">
        <f t="shared" si="26"/>
        <v>0</v>
      </c>
      <c r="DA8" s="115">
        <f t="shared" si="27"/>
        <v>0</v>
      </c>
      <c r="DB8" s="115">
        <f t="shared" si="28"/>
        <v>0</v>
      </c>
      <c r="DC8" s="115">
        <f t="shared" si="29"/>
        <v>0</v>
      </c>
      <c r="DD8" s="115">
        <f t="shared" si="30"/>
        <v>0</v>
      </c>
      <c r="DE8" s="115">
        <f t="shared" si="31"/>
        <v>0</v>
      </c>
      <c r="DF8" s="115">
        <f t="shared" si="32"/>
        <v>0</v>
      </c>
      <c r="DG8" s="115">
        <f t="shared" si="33"/>
        <v>0</v>
      </c>
      <c r="DH8" s="115">
        <f t="shared" si="34"/>
        <v>0</v>
      </c>
      <c r="DI8" s="115">
        <f t="shared" si="35"/>
        <v>0</v>
      </c>
      <c r="DJ8" s="115">
        <f t="shared" si="36"/>
        <v>0</v>
      </c>
    </row>
    <row r="9" spans="2:114">
      <c r="B9" s="167">
        <f t="shared" si="37"/>
        <v>44654</v>
      </c>
      <c r="C9" s="168">
        <f t="shared" si="0"/>
        <v>44654</v>
      </c>
      <c r="D9" s="169" t="str">
        <f t="shared" si="1"/>
        <v>日</v>
      </c>
      <c r="E9" s="170" t="str">
        <f t="shared" si="2"/>
        <v>法定</v>
      </c>
      <c r="F9" s="207">
        <f t="shared" si="3"/>
        <v>0</v>
      </c>
      <c r="G9" s="208">
        <f t="shared" si="3"/>
        <v>0</v>
      </c>
      <c r="H9" s="173"/>
      <c r="I9" s="209"/>
      <c r="J9" s="231" t="str">
        <f t="shared" si="4"/>
        <v/>
      </c>
      <c r="K9" s="232" t="str">
        <f t="shared" si="4"/>
        <v/>
      </c>
      <c r="L9" s="233" t="str">
        <f t="shared" si="4"/>
        <v/>
      </c>
      <c r="M9" s="178">
        <f t="shared" si="5"/>
        <v>0</v>
      </c>
      <c r="N9" s="179">
        <f t="shared" si="5"/>
        <v>0</v>
      </c>
      <c r="O9" s="179">
        <f t="shared" si="5"/>
        <v>0</v>
      </c>
      <c r="P9" s="179">
        <f t="shared" si="5"/>
        <v>0</v>
      </c>
      <c r="Q9" s="179">
        <f t="shared" si="5"/>
        <v>0</v>
      </c>
      <c r="R9" s="179">
        <f t="shared" si="5"/>
        <v>0</v>
      </c>
      <c r="S9" s="179">
        <f t="shared" si="5"/>
        <v>0</v>
      </c>
      <c r="T9" s="179">
        <f t="shared" si="5"/>
        <v>0</v>
      </c>
      <c r="U9" s="179">
        <f t="shared" si="5"/>
        <v>0</v>
      </c>
      <c r="V9" s="179">
        <f t="shared" si="5"/>
        <v>0</v>
      </c>
      <c r="W9" s="179">
        <f t="shared" si="6"/>
        <v>0</v>
      </c>
      <c r="X9" s="179">
        <f t="shared" si="6"/>
        <v>0</v>
      </c>
      <c r="Y9" s="179">
        <f t="shared" si="6"/>
        <v>0</v>
      </c>
      <c r="Z9" s="179">
        <f t="shared" si="6"/>
        <v>0</v>
      </c>
      <c r="AA9" s="213">
        <f t="shared" si="6"/>
        <v>0</v>
      </c>
      <c r="AB9" s="213">
        <f t="shared" si="6"/>
        <v>0</v>
      </c>
      <c r="AC9" s="214">
        <f t="shared" si="6"/>
        <v>0</v>
      </c>
      <c r="AD9" s="215">
        <f t="shared" si="38"/>
        <v>0</v>
      </c>
      <c r="AE9" s="216">
        <f t="shared" ref="AE9:AE45" si="41">((N9*100)+(O9*100)+(P9*100)+(T9*100))/100</f>
        <v>0</v>
      </c>
      <c r="AF9" s="217">
        <f t="shared" ref="AF9:AF45" si="42">(AF8*100+AE9*100)/100</f>
        <v>0</v>
      </c>
      <c r="AG9" s="218"/>
      <c r="AH9" s="219"/>
      <c r="AI9" s="220"/>
      <c r="AJ9" s="219"/>
      <c r="AK9" s="220"/>
      <c r="AL9" s="219"/>
      <c r="AM9" s="220"/>
      <c r="AN9" s="221"/>
      <c r="AO9" s="234"/>
      <c r="AP9" s="235"/>
      <c r="AQ9" s="224"/>
      <c r="AR9" s="225"/>
      <c r="AS9" s="226"/>
      <c r="AT9" s="226"/>
      <c r="AU9" s="227"/>
      <c r="AV9" s="228"/>
      <c r="AW9" s="198"/>
      <c r="AX9" s="229">
        <f t="shared" si="39"/>
        <v>0</v>
      </c>
      <c r="AY9" s="230">
        <f t="shared" si="40"/>
        <v>0</v>
      </c>
      <c r="AZ9" s="201"/>
      <c r="BA9" s="202"/>
      <c r="BB9" s="203"/>
      <c r="BC9" s="201"/>
      <c r="BD9" s="202"/>
      <c r="BE9" s="203"/>
      <c r="BF9" s="201"/>
      <c r="BG9" s="202"/>
      <c r="BH9" s="203"/>
      <c r="BI9" s="201"/>
      <c r="BJ9" s="202"/>
      <c r="BK9" s="203"/>
      <c r="BL9" s="201"/>
      <c r="BM9" s="202"/>
      <c r="BN9" s="203"/>
      <c r="BO9" s="201"/>
      <c r="BP9" s="202"/>
      <c r="BQ9" s="203"/>
      <c r="BR9" s="201"/>
      <c r="BS9" s="202"/>
      <c r="BT9" s="203"/>
      <c r="BU9" s="201"/>
      <c r="BV9" s="202"/>
      <c r="BW9" s="203"/>
      <c r="BX9" s="201"/>
      <c r="BY9" s="202"/>
      <c r="BZ9" s="203"/>
      <c r="CA9" s="201"/>
      <c r="CB9" s="202"/>
      <c r="CC9" s="203"/>
      <c r="CD9" s="142"/>
      <c r="CE9" s="115">
        <f t="shared" si="7"/>
        <v>0</v>
      </c>
      <c r="CF9" s="115">
        <f t="shared" si="8"/>
        <v>0</v>
      </c>
      <c r="CG9" s="115">
        <f t="shared" si="9"/>
        <v>0</v>
      </c>
      <c r="CH9" s="115">
        <f t="shared" si="10"/>
        <v>0</v>
      </c>
      <c r="CI9" s="115">
        <f t="shared" si="11"/>
        <v>0</v>
      </c>
      <c r="CJ9" s="115">
        <f t="shared" si="12"/>
        <v>0</v>
      </c>
      <c r="CK9" s="115">
        <f t="shared" si="13"/>
        <v>0</v>
      </c>
      <c r="CL9" s="115">
        <f t="shared" si="14"/>
        <v>0</v>
      </c>
      <c r="CM9" s="115">
        <f t="shared" si="15"/>
        <v>0</v>
      </c>
      <c r="CN9" s="115">
        <f t="shared" si="16"/>
        <v>0</v>
      </c>
      <c r="CP9" s="115">
        <f t="shared" si="17"/>
        <v>0</v>
      </c>
      <c r="CQ9" s="115">
        <f t="shared" si="18"/>
        <v>0</v>
      </c>
      <c r="CR9" s="115">
        <f t="shared" si="19"/>
        <v>0</v>
      </c>
      <c r="CS9" s="115">
        <f t="shared" si="20"/>
        <v>0</v>
      </c>
      <c r="CT9" s="115">
        <f t="shared" si="21"/>
        <v>0</v>
      </c>
      <c r="CU9" s="115">
        <f t="shared" si="22"/>
        <v>0</v>
      </c>
      <c r="CV9" s="115">
        <f t="shared" si="23"/>
        <v>0</v>
      </c>
      <c r="CW9" s="115">
        <f t="shared" si="24"/>
        <v>0</v>
      </c>
      <c r="CX9" s="115">
        <f t="shared" si="25"/>
        <v>0</v>
      </c>
      <c r="CY9" s="115">
        <f t="shared" si="26"/>
        <v>0</v>
      </c>
      <c r="DA9" s="115">
        <f t="shared" si="27"/>
        <v>0</v>
      </c>
      <c r="DB9" s="115">
        <f t="shared" si="28"/>
        <v>0</v>
      </c>
      <c r="DC9" s="115">
        <f t="shared" si="29"/>
        <v>0</v>
      </c>
      <c r="DD9" s="115">
        <f t="shared" si="30"/>
        <v>0</v>
      </c>
      <c r="DE9" s="115">
        <f t="shared" si="31"/>
        <v>0</v>
      </c>
      <c r="DF9" s="115">
        <f t="shared" si="32"/>
        <v>0</v>
      </c>
      <c r="DG9" s="115">
        <f t="shared" si="33"/>
        <v>0</v>
      </c>
      <c r="DH9" s="115">
        <f t="shared" si="34"/>
        <v>0</v>
      </c>
      <c r="DI9" s="115">
        <f t="shared" si="35"/>
        <v>0</v>
      </c>
      <c r="DJ9" s="115">
        <f t="shared" si="36"/>
        <v>0</v>
      </c>
    </row>
    <row r="10" spans="2:114">
      <c r="B10" s="167">
        <f t="shared" si="37"/>
        <v>44655</v>
      </c>
      <c r="C10" s="168">
        <f t="shared" si="0"/>
        <v>44655</v>
      </c>
      <c r="D10" s="169" t="str">
        <f t="shared" si="1"/>
        <v>月</v>
      </c>
      <c r="E10" s="170" t="str">
        <f t="shared" si="2"/>
        <v/>
      </c>
      <c r="F10" s="207">
        <f t="shared" si="3"/>
        <v>0.375</v>
      </c>
      <c r="G10" s="208">
        <f t="shared" si="3"/>
        <v>0.73958333333333337</v>
      </c>
      <c r="H10" s="173"/>
      <c r="I10" s="209"/>
      <c r="J10" s="231" t="str">
        <f t="shared" si="4"/>
        <v/>
      </c>
      <c r="K10" s="232" t="str">
        <f t="shared" si="4"/>
        <v/>
      </c>
      <c r="L10" s="233" t="str">
        <f t="shared" si="4"/>
        <v/>
      </c>
      <c r="M10" s="178">
        <f t="shared" si="5"/>
        <v>0.32291666666666669</v>
      </c>
      <c r="N10" s="179">
        <f t="shared" si="5"/>
        <v>0</v>
      </c>
      <c r="O10" s="179">
        <f t="shared" si="5"/>
        <v>0</v>
      </c>
      <c r="P10" s="179">
        <f t="shared" si="5"/>
        <v>0</v>
      </c>
      <c r="Q10" s="179">
        <f t="shared" si="5"/>
        <v>0</v>
      </c>
      <c r="R10" s="179">
        <f t="shared" si="5"/>
        <v>0</v>
      </c>
      <c r="S10" s="179">
        <f t="shared" si="5"/>
        <v>0</v>
      </c>
      <c r="T10" s="179">
        <f t="shared" si="5"/>
        <v>0</v>
      </c>
      <c r="U10" s="179">
        <f t="shared" si="5"/>
        <v>0</v>
      </c>
      <c r="V10" s="179">
        <f t="shared" si="5"/>
        <v>0</v>
      </c>
      <c r="W10" s="179">
        <f t="shared" si="6"/>
        <v>0</v>
      </c>
      <c r="X10" s="179">
        <f t="shared" si="6"/>
        <v>0</v>
      </c>
      <c r="Y10" s="179">
        <f t="shared" si="6"/>
        <v>0</v>
      </c>
      <c r="Z10" s="179">
        <f t="shared" si="6"/>
        <v>0</v>
      </c>
      <c r="AA10" s="213">
        <f t="shared" si="6"/>
        <v>0</v>
      </c>
      <c r="AB10" s="213">
        <f t="shared" si="6"/>
        <v>0</v>
      </c>
      <c r="AC10" s="214">
        <f t="shared" si="6"/>
        <v>0</v>
      </c>
      <c r="AD10" s="215">
        <f t="shared" si="38"/>
        <v>0.32291666666666674</v>
      </c>
      <c r="AE10" s="216">
        <f t="shared" si="41"/>
        <v>0</v>
      </c>
      <c r="AF10" s="217">
        <f t="shared" si="42"/>
        <v>0</v>
      </c>
      <c r="AG10" s="218"/>
      <c r="AH10" s="219"/>
      <c r="AI10" s="220"/>
      <c r="AJ10" s="219"/>
      <c r="AK10" s="220"/>
      <c r="AL10" s="219"/>
      <c r="AM10" s="220"/>
      <c r="AN10" s="221"/>
      <c r="AO10" s="234" t="s">
        <v>651</v>
      </c>
      <c r="AP10" s="223"/>
      <c r="AQ10" s="224"/>
      <c r="AR10" s="225"/>
      <c r="AS10" s="226" t="s">
        <v>464</v>
      </c>
      <c r="AT10" s="226" t="s">
        <v>464</v>
      </c>
      <c r="AU10" s="227"/>
      <c r="AV10" s="228">
        <v>0.375</v>
      </c>
      <c r="AW10" s="198">
        <v>0.73958333333333337</v>
      </c>
      <c r="AX10" s="229">
        <f t="shared" si="39"/>
        <v>0.32291666666666669</v>
      </c>
      <c r="AY10" s="230">
        <f t="shared" si="40"/>
        <v>0.32291666666666669</v>
      </c>
      <c r="AZ10" s="201" t="s">
        <v>649</v>
      </c>
      <c r="BA10" s="202" t="s">
        <v>121</v>
      </c>
      <c r="BB10" s="203">
        <v>0.32291666666666669</v>
      </c>
      <c r="BC10" s="201"/>
      <c r="BD10" s="202" t="s">
        <v>464</v>
      </c>
      <c r="BE10" s="203"/>
      <c r="BF10" s="201"/>
      <c r="BG10" s="202" t="s">
        <v>464</v>
      </c>
      <c r="BH10" s="203"/>
      <c r="BI10" s="236"/>
      <c r="BJ10" s="202" t="s">
        <v>464</v>
      </c>
      <c r="BK10" s="203"/>
      <c r="BL10" s="201"/>
      <c r="BM10" s="202" t="s">
        <v>464</v>
      </c>
      <c r="BN10" s="203"/>
      <c r="BO10" s="236"/>
      <c r="BP10" s="202" t="s">
        <v>464</v>
      </c>
      <c r="BQ10" s="203"/>
      <c r="BR10" s="236"/>
      <c r="BS10" s="202" t="s">
        <v>464</v>
      </c>
      <c r="BT10" s="203"/>
      <c r="BU10" s="236"/>
      <c r="BV10" s="202" t="s">
        <v>464</v>
      </c>
      <c r="BW10" s="203"/>
      <c r="BX10" s="236"/>
      <c r="BY10" s="202" t="s">
        <v>464</v>
      </c>
      <c r="BZ10" s="203"/>
      <c r="CA10" s="236"/>
      <c r="CB10" s="202" t="s">
        <v>464</v>
      </c>
      <c r="CC10" s="203"/>
      <c r="CD10" s="142"/>
      <c r="CE10" s="115" t="str">
        <f t="shared" si="7"/>
        <v>PR-233320101</v>
      </c>
      <c r="CF10" s="115">
        <f t="shared" si="8"/>
        <v>0</v>
      </c>
      <c r="CG10" s="115">
        <f t="shared" si="9"/>
        <v>0</v>
      </c>
      <c r="CH10" s="115">
        <f t="shared" si="10"/>
        <v>0</v>
      </c>
      <c r="CI10" s="115">
        <f t="shared" si="11"/>
        <v>0</v>
      </c>
      <c r="CJ10" s="115">
        <f t="shared" si="12"/>
        <v>0</v>
      </c>
      <c r="CK10" s="115">
        <f t="shared" si="13"/>
        <v>0</v>
      </c>
      <c r="CL10" s="115">
        <f t="shared" si="14"/>
        <v>0</v>
      </c>
      <c r="CM10" s="115">
        <f t="shared" si="15"/>
        <v>0</v>
      </c>
      <c r="CN10" s="115">
        <f t="shared" si="16"/>
        <v>0</v>
      </c>
      <c r="CP10" s="115" t="str">
        <f t="shared" si="17"/>
        <v>1.00</v>
      </c>
      <c r="CQ10" s="115" t="str">
        <f t="shared" si="18"/>
        <v/>
      </c>
      <c r="CR10" s="115" t="str">
        <f t="shared" si="19"/>
        <v/>
      </c>
      <c r="CS10" s="115" t="str">
        <f t="shared" si="20"/>
        <v/>
      </c>
      <c r="CT10" s="115" t="str">
        <f t="shared" si="21"/>
        <v/>
      </c>
      <c r="CU10" s="115" t="str">
        <f t="shared" si="22"/>
        <v/>
      </c>
      <c r="CV10" s="115" t="str">
        <f t="shared" si="23"/>
        <v/>
      </c>
      <c r="CW10" s="115" t="str">
        <f t="shared" si="24"/>
        <v/>
      </c>
      <c r="CX10" s="115" t="str">
        <f t="shared" si="25"/>
        <v/>
      </c>
      <c r="CY10" s="115" t="str">
        <f t="shared" si="26"/>
        <v/>
      </c>
      <c r="DA10" s="115">
        <f t="shared" si="27"/>
        <v>0.32291666666666669</v>
      </c>
      <c r="DB10" s="115">
        <f t="shared" si="28"/>
        <v>0</v>
      </c>
      <c r="DC10" s="115">
        <f t="shared" si="29"/>
        <v>0</v>
      </c>
      <c r="DD10" s="115">
        <f t="shared" si="30"/>
        <v>0</v>
      </c>
      <c r="DE10" s="115">
        <f t="shared" si="31"/>
        <v>0</v>
      </c>
      <c r="DF10" s="115">
        <f t="shared" si="32"/>
        <v>0</v>
      </c>
      <c r="DG10" s="115">
        <f t="shared" si="33"/>
        <v>0</v>
      </c>
      <c r="DH10" s="115">
        <f t="shared" si="34"/>
        <v>0</v>
      </c>
      <c r="DI10" s="115">
        <f t="shared" si="35"/>
        <v>0</v>
      </c>
      <c r="DJ10" s="115">
        <f t="shared" si="36"/>
        <v>0</v>
      </c>
    </row>
    <row r="11" spans="2:114">
      <c r="B11" s="167">
        <f t="shared" si="37"/>
        <v>44656</v>
      </c>
      <c r="C11" s="168">
        <f t="shared" si="0"/>
        <v>44656</v>
      </c>
      <c r="D11" s="169" t="str">
        <f t="shared" si="1"/>
        <v>火</v>
      </c>
      <c r="E11" s="170" t="str">
        <f t="shared" si="2"/>
        <v/>
      </c>
      <c r="F11" s="207">
        <f t="shared" si="3"/>
        <v>0.33333333333333331</v>
      </c>
      <c r="G11" s="208">
        <f t="shared" si="3"/>
        <v>0.70833333333333337</v>
      </c>
      <c r="H11" s="173"/>
      <c r="I11" s="209"/>
      <c r="J11" s="231" t="str">
        <f t="shared" si="4"/>
        <v/>
      </c>
      <c r="K11" s="232" t="str">
        <f t="shared" si="4"/>
        <v/>
      </c>
      <c r="L11" s="233" t="str">
        <f t="shared" si="4"/>
        <v/>
      </c>
      <c r="M11" s="178">
        <f t="shared" si="5"/>
        <v>0.33333333333333331</v>
      </c>
      <c r="N11" s="179">
        <f t="shared" si="5"/>
        <v>0</v>
      </c>
      <c r="O11" s="179">
        <f t="shared" si="5"/>
        <v>0</v>
      </c>
      <c r="P11" s="179">
        <f t="shared" si="5"/>
        <v>0</v>
      </c>
      <c r="Q11" s="179">
        <f t="shared" si="5"/>
        <v>0</v>
      </c>
      <c r="R11" s="179">
        <f t="shared" si="5"/>
        <v>0</v>
      </c>
      <c r="S11" s="179">
        <f t="shared" si="5"/>
        <v>0</v>
      </c>
      <c r="T11" s="179">
        <f t="shared" si="5"/>
        <v>0</v>
      </c>
      <c r="U11" s="179">
        <f t="shared" si="5"/>
        <v>0</v>
      </c>
      <c r="V11" s="179">
        <f t="shared" si="5"/>
        <v>0</v>
      </c>
      <c r="W11" s="179">
        <f t="shared" si="6"/>
        <v>0</v>
      </c>
      <c r="X11" s="179">
        <f t="shared" si="6"/>
        <v>0</v>
      </c>
      <c r="Y11" s="179">
        <f t="shared" si="6"/>
        <v>0</v>
      </c>
      <c r="Z11" s="179">
        <f t="shared" si="6"/>
        <v>0</v>
      </c>
      <c r="AA11" s="213">
        <f t="shared" si="6"/>
        <v>0</v>
      </c>
      <c r="AB11" s="213">
        <f t="shared" si="6"/>
        <v>0</v>
      </c>
      <c r="AC11" s="214">
        <f t="shared" si="6"/>
        <v>0</v>
      </c>
      <c r="AD11" s="215">
        <f t="shared" si="38"/>
        <v>0.33333333333333326</v>
      </c>
      <c r="AE11" s="216">
        <f t="shared" si="41"/>
        <v>0</v>
      </c>
      <c r="AF11" s="217">
        <f t="shared" si="42"/>
        <v>0</v>
      </c>
      <c r="AG11" s="218"/>
      <c r="AH11" s="219"/>
      <c r="AI11" s="220"/>
      <c r="AJ11" s="219"/>
      <c r="AK11" s="220"/>
      <c r="AL11" s="219"/>
      <c r="AM11" s="220"/>
      <c r="AN11" s="221"/>
      <c r="AO11" s="234" t="s">
        <v>651</v>
      </c>
      <c r="AP11" s="223"/>
      <c r="AQ11" s="224"/>
      <c r="AR11" s="225"/>
      <c r="AS11" s="226" t="s">
        <v>464</v>
      </c>
      <c r="AT11" s="226" t="s">
        <v>464</v>
      </c>
      <c r="AU11" s="227"/>
      <c r="AV11" s="228">
        <v>0.33333333333333331</v>
      </c>
      <c r="AW11" s="198">
        <v>0.70833333333333337</v>
      </c>
      <c r="AX11" s="229">
        <f t="shared" si="39"/>
        <v>0.33333333333333337</v>
      </c>
      <c r="AY11" s="230">
        <f t="shared" si="40"/>
        <v>0.33333333333333331</v>
      </c>
      <c r="AZ11" s="201" t="s">
        <v>649</v>
      </c>
      <c r="BA11" s="202" t="s">
        <v>121</v>
      </c>
      <c r="BB11" s="203">
        <v>0.33333333333333331</v>
      </c>
      <c r="BC11" s="201"/>
      <c r="BD11" s="202" t="s">
        <v>464</v>
      </c>
      <c r="BE11" s="203"/>
      <c r="BF11" s="201"/>
      <c r="BG11" s="202" t="s">
        <v>464</v>
      </c>
      <c r="BH11" s="203"/>
      <c r="BI11" s="201"/>
      <c r="BJ11" s="202" t="s">
        <v>464</v>
      </c>
      <c r="BK11" s="203"/>
      <c r="BL11" s="201"/>
      <c r="BM11" s="202" t="s">
        <v>464</v>
      </c>
      <c r="BN11" s="203"/>
      <c r="BO11" s="201"/>
      <c r="BP11" s="202" t="s">
        <v>464</v>
      </c>
      <c r="BQ11" s="203"/>
      <c r="BR11" s="236"/>
      <c r="BS11" s="202" t="s">
        <v>464</v>
      </c>
      <c r="BT11" s="203"/>
      <c r="BU11" s="236"/>
      <c r="BV11" s="202" t="s">
        <v>464</v>
      </c>
      <c r="BW11" s="203"/>
      <c r="BX11" s="236"/>
      <c r="BY11" s="202" t="s">
        <v>464</v>
      </c>
      <c r="BZ11" s="203"/>
      <c r="CA11" s="236"/>
      <c r="CB11" s="202" t="s">
        <v>464</v>
      </c>
      <c r="CC11" s="203"/>
      <c r="CD11" s="142"/>
      <c r="CE11" s="115" t="str">
        <f t="shared" si="7"/>
        <v>PR-233320101</v>
      </c>
      <c r="CF11" s="115">
        <f t="shared" si="8"/>
        <v>0</v>
      </c>
      <c r="CG11" s="115">
        <f t="shared" si="9"/>
        <v>0</v>
      </c>
      <c r="CH11" s="115">
        <f t="shared" si="10"/>
        <v>0</v>
      </c>
      <c r="CI11" s="115">
        <f t="shared" si="11"/>
        <v>0</v>
      </c>
      <c r="CJ11" s="115">
        <f t="shared" si="12"/>
        <v>0</v>
      </c>
      <c r="CK11" s="115">
        <f t="shared" si="13"/>
        <v>0</v>
      </c>
      <c r="CL11" s="115">
        <f t="shared" si="14"/>
        <v>0</v>
      </c>
      <c r="CM11" s="115">
        <f t="shared" si="15"/>
        <v>0</v>
      </c>
      <c r="CN11" s="115">
        <f t="shared" si="16"/>
        <v>0</v>
      </c>
      <c r="CP11" s="115" t="str">
        <f t="shared" si="17"/>
        <v>1.00</v>
      </c>
      <c r="CQ11" s="115" t="str">
        <f t="shared" si="18"/>
        <v/>
      </c>
      <c r="CR11" s="115" t="str">
        <f t="shared" si="19"/>
        <v/>
      </c>
      <c r="CS11" s="115" t="str">
        <f t="shared" si="20"/>
        <v/>
      </c>
      <c r="CT11" s="115" t="str">
        <f t="shared" si="21"/>
        <v/>
      </c>
      <c r="CU11" s="115" t="str">
        <f t="shared" si="22"/>
        <v/>
      </c>
      <c r="CV11" s="115" t="str">
        <f t="shared" si="23"/>
        <v/>
      </c>
      <c r="CW11" s="115" t="str">
        <f t="shared" si="24"/>
        <v/>
      </c>
      <c r="CX11" s="115" t="str">
        <f t="shared" si="25"/>
        <v/>
      </c>
      <c r="CY11" s="115" t="str">
        <f t="shared" si="26"/>
        <v/>
      </c>
      <c r="DA11" s="115">
        <f t="shared" si="27"/>
        <v>0.33333333333333331</v>
      </c>
      <c r="DB11" s="115">
        <f t="shared" si="28"/>
        <v>0</v>
      </c>
      <c r="DC11" s="115">
        <f t="shared" si="29"/>
        <v>0</v>
      </c>
      <c r="DD11" s="115">
        <f t="shared" si="30"/>
        <v>0</v>
      </c>
      <c r="DE11" s="115">
        <f t="shared" si="31"/>
        <v>0</v>
      </c>
      <c r="DF11" s="115">
        <f t="shared" si="32"/>
        <v>0</v>
      </c>
      <c r="DG11" s="115">
        <f t="shared" si="33"/>
        <v>0</v>
      </c>
      <c r="DH11" s="115">
        <f t="shared" si="34"/>
        <v>0</v>
      </c>
      <c r="DI11" s="115">
        <f t="shared" si="35"/>
        <v>0</v>
      </c>
      <c r="DJ11" s="115">
        <f t="shared" si="36"/>
        <v>0</v>
      </c>
    </row>
    <row r="12" spans="2:114">
      <c r="B12" s="167">
        <f t="shared" si="37"/>
        <v>44657</v>
      </c>
      <c r="C12" s="168">
        <f t="shared" si="0"/>
        <v>44657</v>
      </c>
      <c r="D12" s="169" t="str">
        <f t="shared" si="1"/>
        <v>水</v>
      </c>
      <c r="E12" s="170" t="str">
        <f t="shared" si="2"/>
        <v/>
      </c>
      <c r="F12" s="207">
        <f t="shared" si="3"/>
        <v>0.375</v>
      </c>
      <c r="G12" s="208">
        <f t="shared" si="3"/>
        <v>0.73958333333333337</v>
      </c>
      <c r="H12" s="173"/>
      <c r="I12" s="209"/>
      <c r="J12" s="231" t="str">
        <f t="shared" si="4"/>
        <v/>
      </c>
      <c r="K12" s="232" t="str">
        <f t="shared" si="4"/>
        <v/>
      </c>
      <c r="L12" s="233" t="str">
        <f t="shared" si="4"/>
        <v/>
      </c>
      <c r="M12" s="178">
        <f t="shared" si="5"/>
        <v>0.32291666666666669</v>
      </c>
      <c r="N12" s="179">
        <f t="shared" si="5"/>
        <v>0</v>
      </c>
      <c r="O12" s="179">
        <f t="shared" si="5"/>
        <v>0</v>
      </c>
      <c r="P12" s="179">
        <f t="shared" si="5"/>
        <v>0</v>
      </c>
      <c r="Q12" s="179">
        <f t="shared" si="5"/>
        <v>0</v>
      </c>
      <c r="R12" s="179">
        <f t="shared" si="5"/>
        <v>0</v>
      </c>
      <c r="S12" s="179">
        <f t="shared" si="5"/>
        <v>0</v>
      </c>
      <c r="T12" s="179">
        <f t="shared" si="5"/>
        <v>0</v>
      </c>
      <c r="U12" s="179">
        <f t="shared" si="5"/>
        <v>0</v>
      </c>
      <c r="V12" s="179">
        <f t="shared" si="5"/>
        <v>0</v>
      </c>
      <c r="W12" s="179">
        <f t="shared" si="6"/>
        <v>0</v>
      </c>
      <c r="X12" s="179">
        <f t="shared" si="6"/>
        <v>0</v>
      </c>
      <c r="Y12" s="179">
        <f t="shared" si="6"/>
        <v>0</v>
      </c>
      <c r="Z12" s="179">
        <f t="shared" si="6"/>
        <v>0</v>
      </c>
      <c r="AA12" s="213">
        <f t="shared" si="6"/>
        <v>0</v>
      </c>
      <c r="AB12" s="213">
        <f t="shared" si="6"/>
        <v>0</v>
      </c>
      <c r="AC12" s="214">
        <f t="shared" si="6"/>
        <v>0</v>
      </c>
      <c r="AD12" s="215">
        <f t="shared" si="38"/>
        <v>0.32291666666666674</v>
      </c>
      <c r="AE12" s="216">
        <f t="shared" si="41"/>
        <v>0</v>
      </c>
      <c r="AF12" s="217">
        <f t="shared" si="42"/>
        <v>0</v>
      </c>
      <c r="AG12" s="218"/>
      <c r="AH12" s="219"/>
      <c r="AI12" s="220"/>
      <c r="AJ12" s="219"/>
      <c r="AK12" s="220"/>
      <c r="AL12" s="219"/>
      <c r="AM12" s="220"/>
      <c r="AN12" s="221"/>
      <c r="AO12" s="234" t="s">
        <v>651</v>
      </c>
      <c r="AP12" s="235"/>
      <c r="AQ12" s="224"/>
      <c r="AR12" s="225"/>
      <c r="AS12" s="226" t="s">
        <v>464</v>
      </c>
      <c r="AT12" s="226" t="s">
        <v>464</v>
      </c>
      <c r="AU12" s="227"/>
      <c r="AV12" s="228">
        <v>0.375</v>
      </c>
      <c r="AW12" s="198">
        <v>0.73958333333333337</v>
      </c>
      <c r="AX12" s="229">
        <f t="shared" si="39"/>
        <v>0.32291666666666669</v>
      </c>
      <c r="AY12" s="230">
        <f t="shared" si="40"/>
        <v>0.32291666666666669</v>
      </c>
      <c r="AZ12" s="201" t="s">
        <v>649</v>
      </c>
      <c r="BA12" s="202" t="s">
        <v>121</v>
      </c>
      <c r="BB12" s="203">
        <v>0.32291666666666669</v>
      </c>
      <c r="BC12" s="201"/>
      <c r="BD12" s="202" t="s">
        <v>464</v>
      </c>
      <c r="BE12" s="203"/>
      <c r="BF12" s="201"/>
      <c r="BG12" s="202" t="s">
        <v>464</v>
      </c>
      <c r="BH12" s="203"/>
      <c r="BI12" s="201"/>
      <c r="BJ12" s="202" t="s">
        <v>464</v>
      </c>
      <c r="BK12" s="203"/>
      <c r="BL12" s="236"/>
      <c r="BM12" s="202" t="s">
        <v>464</v>
      </c>
      <c r="BN12" s="203"/>
      <c r="BO12" s="236"/>
      <c r="BP12" s="202" t="s">
        <v>464</v>
      </c>
      <c r="BQ12" s="203"/>
      <c r="BR12" s="236"/>
      <c r="BS12" s="202" t="s">
        <v>464</v>
      </c>
      <c r="BT12" s="203"/>
      <c r="BU12" s="236"/>
      <c r="BV12" s="202" t="s">
        <v>464</v>
      </c>
      <c r="BW12" s="203"/>
      <c r="BX12" s="236"/>
      <c r="BY12" s="202" t="s">
        <v>464</v>
      </c>
      <c r="BZ12" s="203"/>
      <c r="CA12" s="236" t="s">
        <v>464</v>
      </c>
      <c r="CB12" s="202" t="s">
        <v>464</v>
      </c>
      <c r="CC12" s="203"/>
      <c r="CD12" s="142"/>
      <c r="CE12" s="115" t="str">
        <f t="shared" si="7"/>
        <v>PR-233320101</v>
      </c>
      <c r="CF12" s="115">
        <f t="shared" si="8"/>
        <v>0</v>
      </c>
      <c r="CG12" s="115">
        <f t="shared" si="9"/>
        <v>0</v>
      </c>
      <c r="CH12" s="115">
        <f t="shared" si="10"/>
        <v>0</v>
      </c>
      <c r="CI12" s="115">
        <f t="shared" si="11"/>
        <v>0</v>
      </c>
      <c r="CJ12" s="115">
        <f t="shared" si="12"/>
        <v>0</v>
      </c>
      <c r="CK12" s="115">
        <f t="shared" si="13"/>
        <v>0</v>
      </c>
      <c r="CL12" s="115">
        <f t="shared" si="14"/>
        <v>0</v>
      </c>
      <c r="CM12" s="115">
        <f t="shared" si="15"/>
        <v>0</v>
      </c>
      <c r="CN12" s="115" t="str">
        <f t="shared" si="16"/>
        <v/>
      </c>
      <c r="CP12" s="115" t="str">
        <f t="shared" si="17"/>
        <v>1.00</v>
      </c>
      <c r="CQ12" s="115" t="str">
        <f t="shared" si="18"/>
        <v/>
      </c>
      <c r="CR12" s="115" t="str">
        <f t="shared" si="19"/>
        <v/>
      </c>
      <c r="CS12" s="115" t="str">
        <f t="shared" si="20"/>
        <v/>
      </c>
      <c r="CT12" s="115" t="str">
        <f t="shared" si="21"/>
        <v/>
      </c>
      <c r="CU12" s="115" t="str">
        <f t="shared" si="22"/>
        <v/>
      </c>
      <c r="CV12" s="115" t="str">
        <f t="shared" si="23"/>
        <v/>
      </c>
      <c r="CW12" s="115" t="str">
        <f t="shared" si="24"/>
        <v/>
      </c>
      <c r="CX12" s="115" t="str">
        <f t="shared" si="25"/>
        <v/>
      </c>
      <c r="CY12" s="115" t="str">
        <f t="shared" si="26"/>
        <v/>
      </c>
      <c r="DA12" s="115">
        <f t="shared" si="27"/>
        <v>0.32291666666666669</v>
      </c>
      <c r="DB12" s="115">
        <f t="shared" si="28"/>
        <v>0</v>
      </c>
      <c r="DC12" s="115">
        <f t="shared" si="29"/>
        <v>0</v>
      </c>
      <c r="DD12" s="115">
        <f t="shared" si="30"/>
        <v>0</v>
      </c>
      <c r="DE12" s="115">
        <f t="shared" si="31"/>
        <v>0</v>
      </c>
      <c r="DF12" s="115">
        <f t="shared" si="32"/>
        <v>0</v>
      </c>
      <c r="DG12" s="115">
        <f t="shared" si="33"/>
        <v>0</v>
      </c>
      <c r="DH12" s="115">
        <f t="shared" si="34"/>
        <v>0</v>
      </c>
      <c r="DI12" s="115">
        <f t="shared" si="35"/>
        <v>0</v>
      </c>
      <c r="DJ12" s="115">
        <f t="shared" si="36"/>
        <v>0</v>
      </c>
    </row>
    <row r="13" spans="2:114">
      <c r="B13" s="167">
        <f t="shared" si="37"/>
        <v>44658</v>
      </c>
      <c r="C13" s="168">
        <f t="shared" si="0"/>
        <v>44658</v>
      </c>
      <c r="D13" s="169" t="str">
        <f t="shared" si="1"/>
        <v>木</v>
      </c>
      <c r="E13" s="170" t="str">
        <f t="shared" si="2"/>
        <v/>
      </c>
      <c r="F13" s="207">
        <f t="shared" si="3"/>
        <v>0.33333333333333331</v>
      </c>
      <c r="G13" s="208">
        <f t="shared" si="3"/>
        <v>0.70833333333333337</v>
      </c>
      <c r="H13" s="173"/>
      <c r="I13" s="209"/>
      <c r="J13" s="210" t="str">
        <f t="shared" si="4"/>
        <v/>
      </c>
      <c r="K13" s="211" t="str">
        <f t="shared" si="4"/>
        <v/>
      </c>
      <c r="L13" s="233" t="str">
        <f t="shared" si="4"/>
        <v/>
      </c>
      <c r="M13" s="178">
        <f t="shared" si="5"/>
        <v>0.33333333333333331</v>
      </c>
      <c r="N13" s="179">
        <f t="shared" si="5"/>
        <v>0</v>
      </c>
      <c r="O13" s="179">
        <f t="shared" si="5"/>
        <v>0</v>
      </c>
      <c r="P13" s="179">
        <f t="shared" si="5"/>
        <v>0</v>
      </c>
      <c r="Q13" s="179">
        <f t="shared" si="5"/>
        <v>0</v>
      </c>
      <c r="R13" s="179">
        <f t="shared" si="5"/>
        <v>0</v>
      </c>
      <c r="S13" s="179">
        <f t="shared" si="5"/>
        <v>0</v>
      </c>
      <c r="T13" s="179">
        <f t="shared" si="5"/>
        <v>0</v>
      </c>
      <c r="U13" s="179">
        <f t="shared" si="5"/>
        <v>0</v>
      </c>
      <c r="V13" s="179">
        <f t="shared" si="5"/>
        <v>0</v>
      </c>
      <c r="W13" s="179">
        <f t="shared" si="6"/>
        <v>0</v>
      </c>
      <c r="X13" s="179">
        <f t="shared" si="6"/>
        <v>0</v>
      </c>
      <c r="Y13" s="179">
        <f t="shared" si="6"/>
        <v>0</v>
      </c>
      <c r="Z13" s="179">
        <f t="shared" si="6"/>
        <v>0</v>
      </c>
      <c r="AA13" s="213">
        <f t="shared" si="6"/>
        <v>0</v>
      </c>
      <c r="AB13" s="213">
        <f t="shared" si="6"/>
        <v>0</v>
      </c>
      <c r="AC13" s="214">
        <f t="shared" si="6"/>
        <v>0</v>
      </c>
      <c r="AD13" s="215">
        <f t="shared" si="38"/>
        <v>0.33333333333333326</v>
      </c>
      <c r="AE13" s="216">
        <f t="shared" si="41"/>
        <v>0</v>
      </c>
      <c r="AF13" s="217">
        <f t="shared" si="42"/>
        <v>0</v>
      </c>
      <c r="AG13" s="218"/>
      <c r="AH13" s="219"/>
      <c r="AI13" s="220"/>
      <c r="AJ13" s="219"/>
      <c r="AK13" s="220"/>
      <c r="AL13" s="219"/>
      <c r="AM13" s="220"/>
      <c r="AN13" s="221"/>
      <c r="AO13" s="234" t="s">
        <v>651</v>
      </c>
      <c r="AP13" s="235"/>
      <c r="AQ13" s="224"/>
      <c r="AR13" s="225"/>
      <c r="AS13" s="226" t="s">
        <v>464</v>
      </c>
      <c r="AT13" s="226" t="s">
        <v>464</v>
      </c>
      <c r="AU13" s="227"/>
      <c r="AV13" s="228">
        <v>0.33333333333333331</v>
      </c>
      <c r="AW13" s="198">
        <v>0.70833333333333337</v>
      </c>
      <c r="AX13" s="229">
        <f t="shared" si="39"/>
        <v>0.33333333333333337</v>
      </c>
      <c r="AY13" s="230">
        <f t="shared" si="40"/>
        <v>0.33333333333333331</v>
      </c>
      <c r="AZ13" s="201" t="s">
        <v>649</v>
      </c>
      <c r="BA13" s="202" t="s">
        <v>121</v>
      </c>
      <c r="BB13" s="203">
        <v>0.33333333333333331</v>
      </c>
      <c r="BC13" s="201"/>
      <c r="BD13" s="202" t="s">
        <v>464</v>
      </c>
      <c r="BE13" s="203"/>
      <c r="BF13" s="201"/>
      <c r="BG13" s="202" t="s">
        <v>464</v>
      </c>
      <c r="BH13" s="203"/>
      <c r="BI13" s="236"/>
      <c r="BJ13" s="202" t="s">
        <v>464</v>
      </c>
      <c r="BK13" s="203"/>
      <c r="BL13" s="236"/>
      <c r="BM13" s="202" t="s">
        <v>464</v>
      </c>
      <c r="BN13" s="203"/>
      <c r="BO13" s="236"/>
      <c r="BP13" s="202" t="s">
        <v>464</v>
      </c>
      <c r="BQ13" s="203"/>
      <c r="BR13" s="236"/>
      <c r="BS13" s="202" t="s">
        <v>464</v>
      </c>
      <c r="BT13" s="203"/>
      <c r="BU13" s="236"/>
      <c r="BV13" s="202" t="s">
        <v>464</v>
      </c>
      <c r="BW13" s="203"/>
      <c r="BX13" s="236"/>
      <c r="BY13" s="202" t="s">
        <v>464</v>
      </c>
      <c r="BZ13" s="203"/>
      <c r="CA13" s="236"/>
      <c r="CB13" s="202" t="s">
        <v>464</v>
      </c>
      <c r="CC13" s="203"/>
      <c r="CD13" s="142"/>
      <c r="CE13" s="115" t="str">
        <f t="shared" si="7"/>
        <v>PR-233320101</v>
      </c>
      <c r="CF13" s="115">
        <f t="shared" si="8"/>
        <v>0</v>
      </c>
      <c r="CG13" s="115">
        <f t="shared" si="9"/>
        <v>0</v>
      </c>
      <c r="CH13" s="115">
        <f t="shared" si="10"/>
        <v>0</v>
      </c>
      <c r="CI13" s="115">
        <f t="shared" si="11"/>
        <v>0</v>
      </c>
      <c r="CJ13" s="115">
        <f t="shared" si="12"/>
        <v>0</v>
      </c>
      <c r="CK13" s="115">
        <f t="shared" si="13"/>
        <v>0</v>
      </c>
      <c r="CL13" s="115">
        <f t="shared" si="14"/>
        <v>0</v>
      </c>
      <c r="CM13" s="115">
        <f t="shared" si="15"/>
        <v>0</v>
      </c>
      <c r="CN13" s="115">
        <f t="shared" si="16"/>
        <v>0</v>
      </c>
      <c r="CP13" s="115" t="str">
        <f t="shared" si="17"/>
        <v>1.00</v>
      </c>
      <c r="CQ13" s="115" t="str">
        <f t="shared" si="18"/>
        <v/>
      </c>
      <c r="CR13" s="115" t="str">
        <f t="shared" si="19"/>
        <v/>
      </c>
      <c r="CS13" s="115" t="str">
        <f t="shared" si="20"/>
        <v/>
      </c>
      <c r="CT13" s="115" t="str">
        <f t="shared" si="21"/>
        <v/>
      </c>
      <c r="CU13" s="115" t="str">
        <f t="shared" si="22"/>
        <v/>
      </c>
      <c r="CV13" s="115" t="str">
        <f t="shared" si="23"/>
        <v/>
      </c>
      <c r="CW13" s="115" t="str">
        <f t="shared" si="24"/>
        <v/>
      </c>
      <c r="CX13" s="115" t="str">
        <f t="shared" si="25"/>
        <v/>
      </c>
      <c r="CY13" s="115" t="str">
        <f t="shared" si="26"/>
        <v/>
      </c>
      <c r="DA13" s="115">
        <f t="shared" si="27"/>
        <v>0.33333333333333331</v>
      </c>
      <c r="DB13" s="115">
        <f t="shared" si="28"/>
        <v>0</v>
      </c>
      <c r="DC13" s="115">
        <f t="shared" si="29"/>
        <v>0</v>
      </c>
      <c r="DD13" s="115">
        <f t="shared" si="30"/>
        <v>0</v>
      </c>
      <c r="DE13" s="115">
        <f t="shared" si="31"/>
        <v>0</v>
      </c>
      <c r="DF13" s="115">
        <f t="shared" si="32"/>
        <v>0</v>
      </c>
      <c r="DG13" s="115">
        <f t="shared" si="33"/>
        <v>0</v>
      </c>
      <c r="DH13" s="115">
        <f t="shared" si="34"/>
        <v>0</v>
      </c>
      <c r="DI13" s="115">
        <f t="shared" si="35"/>
        <v>0</v>
      </c>
      <c r="DJ13" s="115">
        <f t="shared" si="36"/>
        <v>0</v>
      </c>
    </row>
    <row r="14" spans="2:114">
      <c r="B14" s="167">
        <f t="shared" si="37"/>
        <v>44659</v>
      </c>
      <c r="C14" s="168">
        <f t="shared" si="0"/>
        <v>44659</v>
      </c>
      <c r="D14" s="169" t="str">
        <f t="shared" si="1"/>
        <v>金</v>
      </c>
      <c r="E14" s="170" t="str">
        <f t="shared" si="2"/>
        <v/>
      </c>
      <c r="F14" s="207">
        <f t="shared" si="3"/>
        <v>0.375</v>
      </c>
      <c r="G14" s="208">
        <f t="shared" si="3"/>
        <v>0.73958333333333337</v>
      </c>
      <c r="H14" s="173"/>
      <c r="I14" s="209"/>
      <c r="J14" s="210" t="str">
        <f t="shared" si="4"/>
        <v/>
      </c>
      <c r="K14" s="211" t="str">
        <f t="shared" si="4"/>
        <v/>
      </c>
      <c r="L14" s="233" t="str">
        <f t="shared" si="4"/>
        <v/>
      </c>
      <c r="M14" s="178">
        <f t="shared" si="5"/>
        <v>0.32291666666666669</v>
      </c>
      <c r="N14" s="179">
        <f t="shared" si="5"/>
        <v>0</v>
      </c>
      <c r="O14" s="179">
        <f t="shared" si="5"/>
        <v>0</v>
      </c>
      <c r="P14" s="179">
        <f t="shared" si="5"/>
        <v>0</v>
      </c>
      <c r="Q14" s="179">
        <f t="shared" si="5"/>
        <v>0</v>
      </c>
      <c r="R14" s="179">
        <f t="shared" si="5"/>
        <v>0</v>
      </c>
      <c r="S14" s="179">
        <f t="shared" si="5"/>
        <v>0</v>
      </c>
      <c r="T14" s="179">
        <f t="shared" si="5"/>
        <v>0</v>
      </c>
      <c r="U14" s="179">
        <f t="shared" si="5"/>
        <v>0</v>
      </c>
      <c r="V14" s="179">
        <f t="shared" si="5"/>
        <v>0</v>
      </c>
      <c r="W14" s="179">
        <f t="shared" si="6"/>
        <v>0</v>
      </c>
      <c r="X14" s="179">
        <f t="shared" si="6"/>
        <v>0</v>
      </c>
      <c r="Y14" s="179">
        <f t="shared" si="6"/>
        <v>0</v>
      </c>
      <c r="Z14" s="179">
        <f t="shared" si="6"/>
        <v>0</v>
      </c>
      <c r="AA14" s="213">
        <f t="shared" si="6"/>
        <v>0</v>
      </c>
      <c r="AB14" s="213">
        <f t="shared" si="6"/>
        <v>0</v>
      </c>
      <c r="AC14" s="214">
        <f t="shared" si="6"/>
        <v>0</v>
      </c>
      <c r="AD14" s="215">
        <f t="shared" si="38"/>
        <v>0.32291666666666674</v>
      </c>
      <c r="AE14" s="216">
        <f t="shared" si="41"/>
        <v>0</v>
      </c>
      <c r="AF14" s="217">
        <f t="shared" si="42"/>
        <v>0</v>
      </c>
      <c r="AG14" s="218"/>
      <c r="AH14" s="219"/>
      <c r="AI14" s="220"/>
      <c r="AJ14" s="219"/>
      <c r="AK14" s="220"/>
      <c r="AL14" s="219"/>
      <c r="AM14" s="220"/>
      <c r="AN14" s="221"/>
      <c r="AO14" s="222" t="s">
        <v>660</v>
      </c>
      <c r="AP14" s="235"/>
      <c r="AQ14" s="224"/>
      <c r="AR14" s="225"/>
      <c r="AS14" s="226" t="s">
        <v>464</v>
      </c>
      <c r="AT14" s="226" t="s">
        <v>464</v>
      </c>
      <c r="AU14" s="227"/>
      <c r="AV14" s="228">
        <v>0.375</v>
      </c>
      <c r="AW14" s="198">
        <v>0.73958333333333337</v>
      </c>
      <c r="AX14" s="229">
        <f t="shared" si="39"/>
        <v>0.32291666666666669</v>
      </c>
      <c r="AY14" s="230">
        <f t="shared" si="40"/>
        <v>0.32291666666666669</v>
      </c>
      <c r="AZ14" s="201" t="s">
        <v>649</v>
      </c>
      <c r="BA14" s="202" t="s">
        <v>121</v>
      </c>
      <c r="BB14" s="203">
        <v>0.32291666666666669</v>
      </c>
      <c r="BC14" s="201"/>
      <c r="BD14" s="202" t="s">
        <v>464</v>
      </c>
      <c r="BE14" s="203"/>
      <c r="BF14" s="236"/>
      <c r="BG14" s="202" t="s">
        <v>464</v>
      </c>
      <c r="BH14" s="203"/>
      <c r="BI14" s="236"/>
      <c r="BJ14" s="202" t="s">
        <v>464</v>
      </c>
      <c r="BK14" s="203"/>
      <c r="BL14" s="236"/>
      <c r="BM14" s="202" t="s">
        <v>464</v>
      </c>
      <c r="BN14" s="203"/>
      <c r="BO14" s="236"/>
      <c r="BP14" s="202" t="s">
        <v>464</v>
      </c>
      <c r="BQ14" s="203"/>
      <c r="BR14" s="236"/>
      <c r="BS14" s="202" t="s">
        <v>464</v>
      </c>
      <c r="BT14" s="203"/>
      <c r="BU14" s="236"/>
      <c r="BV14" s="202" t="s">
        <v>464</v>
      </c>
      <c r="BW14" s="203"/>
      <c r="BX14" s="236"/>
      <c r="BY14" s="202" t="s">
        <v>464</v>
      </c>
      <c r="BZ14" s="203"/>
      <c r="CA14" s="236"/>
      <c r="CB14" s="202" t="s">
        <v>464</v>
      </c>
      <c r="CC14" s="203"/>
      <c r="CD14" s="142"/>
      <c r="CE14" s="115" t="str">
        <f t="shared" si="7"/>
        <v>PR-233320101</v>
      </c>
      <c r="CF14" s="115">
        <f t="shared" si="8"/>
        <v>0</v>
      </c>
      <c r="CG14" s="115">
        <f t="shared" si="9"/>
        <v>0</v>
      </c>
      <c r="CH14" s="115">
        <f t="shared" si="10"/>
        <v>0</v>
      </c>
      <c r="CI14" s="115">
        <f t="shared" si="11"/>
        <v>0</v>
      </c>
      <c r="CJ14" s="115">
        <f t="shared" si="12"/>
        <v>0</v>
      </c>
      <c r="CK14" s="115">
        <f t="shared" si="13"/>
        <v>0</v>
      </c>
      <c r="CL14" s="115">
        <f t="shared" si="14"/>
        <v>0</v>
      </c>
      <c r="CM14" s="115">
        <f t="shared" si="15"/>
        <v>0</v>
      </c>
      <c r="CN14" s="115">
        <f t="shared" si="16"/>
        <v>0</v>
      </c>
      <c r="CP14" s="115" t="str">
        <f t="shared" si="17"/>
        <v>1.00</v>
      </c>
      <c r="CQ14" s="115" t="str">
        <f t="shared" si="18"/>
        <v/>
      </c>
      <c r="CR14" s="115" t="str">
        <f t="shared" si="19"/>
        <v/>
      </c>
      <c r="CS14" s="115" t="str">
        <f t="shared" si="20"/>
        <v/>
      </c>
      <c r="CT14" s="115" t="str">
        <f t="shared" si="21"/>
        <v/>
      </c>
      <c r="CU14" s="115" t="str">
        <f t="shared" si="22"/>
        <v/>
      </c>
      <c r="CV14" s="115" t="str">
        <f t="shared" si="23"/>
        <v/>
      </c>
      <c r="CW14" s="115" t="str">
        <f t="shared" si="24"/>
        <v/>
      </c>
      <c r="CX14" s="115" t="str">
        <f t="shared" si="25"/>
        <v/>
      </c>
      <c r="CY14" s="115" t="str">
        <f t="shared" si="26"/>
        <v/>
      </c>
      <c r="DA14" s="115">
        <f t="shared" si="27"/>
        <v>0.32291666666666669</v>
      </c>
      <c r="DB14" s="115">
        <f t="shared" si="28"/>
        <v>0</v>
      </c>
      <c r="DC14" s="115">
        <f t="shared" si="29"/>
        <v>0</v>
      </c>
      <c r="DD14" s="115">
        <f t="shared" si="30"/>
        <v>0</v>
      </c>
      <c r="DE14" s="115">
        <f t="shared" si="31"/>
        <v>0</v>
      </c>
      <c r="DF14" s="115">
        <f t="shared" si="32"/>
        <v>0</v>
      </c>
      <c r="DG14" s="115">
        <f t="shared" si="33"/>
        <v>0</v>
      </c>
      <c r="DH14" s="115">
        <f t="shared" si="34"/>
        <v>0</v>
      </c>
      <c r="DI14" s="115">
        <f t="shared" si="35"/>
        <v>0</v>
      </c>
      <c r="DJ14" s="115">
        <f t="shared" si="36"/>
        <v>0</v>
      </c>
    </row>
    <row r="15" spans="2:114">
      <c r="B15" s="167">
        <f t="shared" si="37"/>
        <v>44660</v>
      </c>
      <c r="C15" s="168">
        <f t="shared" si="0"/>
        <v>44660</v>
      </c>
      <c r="D15" s="169" t="str">
        <f t="shared" si="1"/>
        <v>土</v>
      </c>
      <c r="E15" s="170" t="str">
        <f t="shared" si="2"/>
        <v>法定外</v>
      </c>
      <c r="F15" s="207">
        <f t="shared" si="3"/>
        <v>0</v>
      </c>
      <c r="G15" s="208">
        <f t="shared" si="3"/>
        <v>0</v>
      </c>
      <c r="H15" s="173"/>
      <c r="I15" s="209"/>
      <c r="J15" s="210" t="str">
        <f t="shared" si="4"/>
        <v/>
      </c>
      <c r="K15" s="211" t="str">
        <f t="shared" si="4"/>
        <v/>
      </c>
      <c r="L15" s="233" t="str">
        <f t="shared" si="4"/>
        <v/>
      </c>
      <c r="M15" s="178">
        <f t="shared" si="5"/>
        <v>0</v>
      </c>
      <c r="N15" s="179">
        <f t="shared" si="5"/>
        <v>0</v>
      </c>
      <c r="O15" s="179">
        <f t="shared" si="5"/>
        <v>0</v>
      </c>
      <c r="P15" s="179">
        <f t="shared" si="5"/>
        <v>0</v>
      </c>
      <c r="Q15" s="179">
        <f t="shared" si="5"/>
        <v>0</v>
      </c>
      <c r="R15" s="179">
        <f t="shared" si="5"/>
        <v>0</v>
      </c>
      <c r="S15" s="179">
        <f t="shared" si="5"/>
        <v>0</v>
      </c>
      <c r="T15" s="179">
        <f t="shared" si="5"/>
        <v>0</v>
      </c>
      <c r="U15" s="179">
        <f t="shared" si="5"/>
        <v>0</v>
      </c>
      <c r="V15" s="179">
        <f t="shared" si="5"/>
        <v>0</v>
      </c>
      <c r="W15" s="179">
        <f t="shared" si="6"/>
        <v>0</v>
      </c>
      <c r="X15" s="179">
        <f t="shared" si="6"/>
        <v>0</v>
      </c>
      <c r="Y15" s="179">
        <f t="shared" si="6"/>
        <v>0</v>
      </c>
      <c r="Z15" s="179">
        <f t="shared" si="6"/>
        <v>0</v>
      </c>
      <c r="AA15" s="213">
        <f t="shared" si="6"/>
        <v>0</v>
      </c>
      <c r="AB15" s="213">
        <f t="shared" si="6"/>
        <v>0</v>
      </c>
      <c r="AC15" s="214">
        <f t="shared" si="6"/>
        <v>0</v>
      </c>
      <c r="AD15" s="215">
        <f t="shared" si="38"/>
        <v>0</v>
      </c>
      <c r="AE15" s="216">
        <f t="shared" si="41"/>
        <v>0</v>
      </c>
      <c r="AF15" s="217">
        <f t="shared" si="42"/>
        <v>0</v>
      </c>
      <c r="AG15" s="218"/>
      <c r="AH15" s="219"/>
      <c r="AI15" s="220"/>
      <c r="AJ15" s="219"/>
      <c r="AK15" s="220"/>
      <c r="AL15" s="219"/>
      <c r="AM15" s="220"/>
      <c r="AN15" s="221"/>
      <c r="AO15" s="234"/>
      <c r="AP15" s="235"/>
      <c r="AQ15" s="224"/>
      <c r="AR15" s="225"/>
      <c r="AS15" s="226"/>
      <c r="AT15" s="226"/>
      <c r="AU15" s="227"/>
      <c r="AV15" s="228"/>
      <c r="AW15" s="198"/>
      <c r="AX15" s="229">
        <f t="shared" si="39"/>
        <v>0</v>
      </c>
      <c r="AY15" s="230">
        <f t="shared" si="40"/>
        <v>0</v>
      </c>
      <c r="AZ15" s="201"/>
      <c r="BA15" s="202"/>
      <c r="BB15" s="203"/>
      <c r="BC15" s="201"/>
      <c r="BD15" s="202"/>
      <c r="BE15" s="203"/>
      <c r="BF15" s="201"/>
      <c r="BG15" s="202"/>
      <c r="BH15" s="203"/>
      <c r="BI15" s="201"/>
      <c r="BJ15" s="202"/>
      <c r="BK15" s="203"/>
      <c r="BL15" s="201"/>
      <c r="BM15" s="202"/>
      <c r="BN15" s="203"/>
      <c r="BO15" s="236"/>
      <c r="BP15" s="202"/>
      <c r="BQ15" s="203"/>
      <c r="BR15" s="236"/>
      <c r="BS15" s="202"/>
      <c r="BT15" s="203"/>
      <c r="BU15" s="236"/>
      <c r="BV15" s="202"/>
      <c r="BW15" s="203"/>
      <c r="BX15" s="236"/>
      <c r="BY15" s="202"/>
      <c r="BZ15" s="203"/>
      <c r="CA15" s="236"/>
      <c r="CB15" s="202"/>
      <c r="CC15" s="203"/>
      <c r="CD15" s="142"/>
      <c r="CE15" s="115">
        <f t="shared" si="7"/>
        <v>0</v>
      </c>
      <c r="CF15" s="115">
        <f t="shared" si="8"/>
        <v>0</v>
      </c>
      <c r="CG15" s="115">
        <f t="shared" si="9"/>
        <v>0</v>
      </c>
      <c r="CH15" s="115">
        <f t="shared" si="10"/>
        <v>0</v>
      </c>
      <c r="CI15" s="115">
        <f t="shared" si="11"/>
        <v>0</v>
      </c>
      <c r="CJ15" s="115">
        <f t="shared" si="12"/>
        <v>0</v>
      </c>
      <c r="CK15" s="115">
        <f t="shared" si="13"/>
        <v>0</v>
      </c>
      <c r="CL15" s="115">
        <f t="shared" si="14"/>
        <v>0</v>
      </c>
      <c r="CM15" s="115">
        <f t="shared" si="15"/>
        <v>0</v>
      </c>
      <c r="CN15" s="115">
        <f t="shared" si="16"/>
        <v>0</v>
      </c>
      <c r="CP15" s="115">
        <f t="shared" si="17"/>
        <v>0</v>
      </c>
      <c r="CQ15" s="115">
        <f t="shared" si="18"/>
        <v>0</v>
      </c>
      <c r="CR15" s="115">
        <f t="shared" si="19"/>
        <v>0</v>
      </c>
      <c r="CS15" s="115">
        <f t="shared" si="20"/>
        <v>0</v>
      </c>
      <c r="CT15" s="115">
        <f t="shared" si="21"/>
        <v>0</v>
      </c>
      <c r="CU15" s="115">
        <f t="shared" si="22"/>
        <v>0</v>
      </c>
      <c r="CV15" s="115">
        <f t="shared" si="23"/>
        <v>0</v>
      </c>
      <c r="CW15" s="115">
        <f t="shared" si="24"/>
        <v>0</v>
      </c>
      <c r="CX15" s="115">
        <f t="shared" si="25"/>
        <v>0</v>
      </c>
      <c r="CY15" s="115">
        <f t="shared" si="26"/>
        <v>0</v>
      </c>
      <c r="DA15" s="115">
        <f t="shared" si="27"/>
        <v>0</v>
      </c>
      <c r="DB15" s="115">
        <f t="shared" si="28"/>
        <v>0</v>
      </c>
      <c r="DC15" s="115">
        <f t="shared" si="29"/>
        <v>0</v>
      </c>
      <c r="DD15" s="115">
        <f t="shared" si="30"/>
        <v>0</v>
      </c>
      <c r="DE15" s="115">
        <f t="shared" si="31"/>
        <v>0</v>
      </c>
      <c r="DF15" s="115">
        <f t="shared" si="32"/>
        <v>0</v>
      </c>
      <c r="DG15" s="115">
        <f t="shared" si="33"/>
        <v>0</v>
      </c>
      <c r="DH15" s="115">
        <f t="shared" si="34"/>
        <v>0</v>
      </c>
      <c r="DI15" s="115">
        <f t="shared" si="35"/>
        <v>0</v>
      </c>
      <c r="DJ15" s="115">
        <f t="shared" si="36"/>
        <v>0</v>
      </c>
    </row>
    <row r="16" spans="2:114">
      <c r="B16" s="167">
        <f t="shared" si="37"/>
        <v>44661</v>
      </c>
      <c r="C16" s="168">
        <f t="shared" si="0"/>
        <v>44661</v>
      </c>
      <c r="D16" s="169" t="str">
        <f t="shared" si="1"/>
        <v>日</v>
      </c>
      <c r="E16" s="170" t="str">
        <f t="shared" si="2"/>
        <v>法定</v>
      </c>
      <c r="F16" s="207">
        <f t="shared" si="3"/>
        <v>0</v>
      </c>
      <c r="G16" s="208">
        <f t="shared" si="3"/>
        <v>0</v>
      </c>
      <c r="H16" s="173"/>
      <c r="I16" s="209"/>
      <c r="J16" s="210" t="str">
        <f t="shared" si="4"/>
        <v/>
      </c>
      <c r="K16" s="211" t="str">
        <f t="shared" si="4"/>
        <v/>
      </c>
      <c r="L16" s="233" t="str">
        <f t="shared" si="4"/>
        <v/>
      </c>
      <c r="M16" s="178">
        <f t="shared" si="5"/>
        <v>0</v>
      </c>
      <c r="N16" s="179">
        <f t="shared" si="5"/>
        <v>0</v>
      </c>
      <c r="O16" s="179">
        <f t="shared" si="5"/>
        <v>0</v>
      </c>
      <c r="P16" s="179">
        <f t="shared" si="5"/>
        <v>0</v>
      </c>
      <c r="Q16" s="179">
        <f t="shared" si="5"/>
        <v>0</v>
      </c>
      <c r="R16" s="179">
        <f t="shared" si="5"/>
        <v>0</v>
      </c>
      <c r="S16" s="179">
        <f t="shared" si="5"/>
        <v>0</v>
      </c>
      <c r="T16" s="179">
        <f t="shared" si="5"/>
        <v>0</v>
      </c>
      <c r="U16" s="179">
        <f t="shared" si="5"/>
        <v>0</v>
      </c>
      <c r="V16" s="179">
        <f t="shared" si="5"/>
        <v>0</v>
      </c>
      <c r="W16" s="179">
        <f t="shared" si="6"/>
        <v>0</v>
      </c>
      <c r="X16" s="179">
        <f t="shared" si="6"/>
        <v>0</v>
      </c>
      <c r="Y16" s="179">
        <f t="shared" si="6"/>
        <v>0</v>
      </c>
      <c r="Z16" s="179">
        <f t="shared" si="6"/>
        <v>0</v>
      </c>
      <c r="AA16" s="213">
        <f t="shared" si="6"/>
        <v>0</v>
      </c>
      <c r="AB16" s="213">
        <f t="shared" si="6"/>
        <v>0</v>
      </c>
      <c r="AC16" s="214">
        <f t="shared" si="6"/>
        <v>0</v>
      </c>
      <c r="AD16" s="215">
        <f t="shared" si="38"/>
        <v>0</v>
      </c>
      <c r="AE16" s="216">
        <f t="shared" si="41"/>
        <v>0</v>
      </c>
      <c r="AF16" s="217">
        <f t="shared" si="42"/>
        <v>0</v>
      </c>
      <c r="AG16" s="218"/>
      <c r="AH16" s="219"/>
      <c r="AI16" s="220"/>
      <c r="AJ16" s="219"/>
      <c r="AK16" s="220"/>
      <c r="AL16" s="219"/>
      <c r="AM16" s="220"/>
      <c r="AN16" s="221"/>
      <c r="AO16" s="234"/>
      <c r="AP16" s="235"/>
      <c r="AQ16" s="224"/>
      <c r="AR16" s="225"/>
      <c r="AS16" s="226"/>
      <c r="AT16" s="226"/>
      <c r="AU16" s="227"/>
      <c r="AV16" s="228"/>
      <c r="AW16" s="198"/>
      <c r="AX16" s="229">
        <f t="shared" si="39"/>
        <v>0</v>
      </c>
      <c r="AY16" s="230">
        <f t="shared" si="40"/>
        <v>0</v>
      </c>
      <c r="AZ16" s="201"/>
      <c r="BA16" s="202"/>
      <c r="BB16" s="203"/>
      <c r="BC16" s="201"/>
      <c r="BD16" s="202"/>
      <c r="BE16" s="203"/>
      <c r="BF16" s="201"/>
      <c r="BG16" s="202"/>
      <c r="BH16" s="203"/>
      <c r="BI16" s="201"/>
      <c r="BJ16" s="202"/>
      <c r="BK16" s="203"/>
      <c r="BL16" s="236"/>
      <c r="BM16" s="202"/>
      <c r="BN16" s="203"/>
      <c r="BO16" s="236"/>
      <c r="BP16" s="202"/>
      <c r="BQ16" s="203"/>
      <c r="BR16" s="236"/>
      <c r="BS16" s="202"/>
      <c r="BT16" s="203"/>
      <c r="BU16" s="236"/>
      <c r="BV16" s="202"/>
      <c r="BW16" s="203"/>
      <c r="BX16" s="236"/>
      <c r="BY16" s="202"/>
      <c r="BZ16" s="203"/>
      <c r="CA16" s="236"/>
      <c r="CB16" s="202"/>
      <c r="CC16" s="203"/>
      <c r="CD16" s="142"/>
      <c r="CE16" s="115">
        <f t="shared" si="7"/>
        <v>0</v>
      </c>
      <c r="CF16" s="115">
        <f t="shared" si="8"/>
        <v>0</v>
      </c>
      <c r="CG16" s="115">
        <f t="shared" si="9"/>
        <v>0</v>
      </c>
      <c r="CH16" s="115">
        <f t="shared" si="10"/>
        <v>0</v>
      </c>
      <c r="CI16" s="115">
        <f t="shared" si="11"/>
        <v>0</v>
      </c>
      <c r="CJ16" s="115">
        <f t="shared" si="12"/>
        <v>0</v>
      </c>
      <c r="CK16" s="115">
        <f t="shared" si="13"/>
        <v>0</v>
      </c>
      <c r="CL16" s="115">
        <f t="shared" si="14"/>
        <v>0</v>
      </c>
      <c r="CM16" s="115">
        <f t="shared" si="15"/>
        <v>0</v>
      </c>
      <c r="CN16" s="115">
        <f t="shared" si="16"/>
        <v>0</v>
      </c>
      <c r="CP16" s="115">
        <f t="shared" si="17"/>
        <v>0</v>
      </c>
      <c r="CQ16" s="115">
        <f t="shared" si="18"/>
        <v>0</v>
      </c>
      <c r="CR16" s="115">
        <f t="shared" si="19"/>
        <v>0</v>
      </c>
      <c r="CS16" s="115">
        <f t="shared" si="20"/>
        <v>0</v>
      </c>
      <c r="CT16" s="115">
        <f t="shared" si="21"/>
        <v>0</v>
      </c>
      <c r="CU16" s="115">
        <f t="shared" si="22"/>
        <v>0</v>
      </c>
      <c r="CV16" s="115">
        <f t="shared" si="23"/>
        <v>0</v>
      </c>
      <c r="CW16" s="115">
        <f t="shared" si="24"/>
        <v>0</v>
      </c>
      <c r="CX16" s="115">
        <f t="shared" si="25"/>
        <v>0</v>
      </c>
      <c r="CY16" s="115">
        <f t="shared" si="26"/>
        <v>0</v>
      </c>
      <c r="DA16" s="115">
        <f t="shared" si="27"/>
        <v>0</v>
      </c>
      <c r="DB16" s="115">
        <f t="shared" si="28"/>
        <v>0</v>
      </c>
      <c r="DC16" s="115">
        <f t="shared" si="29"/>
        <v>0</v>
      </c>
      <c r="DD16" s="115">
        <f t="shared" si="30"/>
        <v>0</v>
      </c>
      <c r="DE16" s="115">
        <f t="shared" si="31"/>
        <v>0</v>
      </c>
      <c r="DF16" s="115">
        <f t="shared" si="32"/>
        <v>0</v>
      </c>
      <c r="DG16" s="115">
        <f t="shared" si="33"/>
        <v>0</v>
      </c>
      <c r="DH16" s="115">
        <f t="shared" si="34"/>
        <v>0</v>
      </c>
      <c r="DI16" s="115">
        <f t="shared" si="35"/>
        <v>0</v>
      </c>
      <c r="DJ16" s="115">
        <f t="shared" si="36"/>
        <v>0</v>
      </c>
    </row>
    <row r="17" spans="2:114">
      <c r="B17" s="167">
        <f t="shared" si="37"/>
        <v>44662</v>
      </c>
      <c r="C17" s="168">
        <f t="shared" si="0"/>
        <v>44662</v>
      </c>
      <c r="D17" s="169" t="str">
        <f t="shared" si="1"/>
        <v>月</v>
      </c>
      <c r="E17" s="170" t="str">
        <f t="shared" si="2"/>
        <v/>
      </c>
      <c r="F17" s="207">
        <f t="shared" si="3"/>
        <v>0.375</v>
      </c>
      <c r="G17" s="208">
        <f t="shared" si="3"/>
        <v>0.73958333333333337</v>
      </c>
      <c r="H17" s="173"/>
      <c r="I17" s="209"/>
      <c r="J17" s="210" t="str">
        <f t="shared" si="4"/>
        <v/>
      </c>
      <c r="K17" s="211" t="str">
        <f t="shared" si="4"/>
        <v/>
      </c>
      <c r="L17" s="233" t="str">
        <f t="shared" si="4"/>
        <v/>
      </c>
      <c r="M17" s="178">
        <f t="shared" si="5"/>
        <v>0.32291666666666669</v>
      </c>
      <c r="N17" s="179">
        <f t="shared" si="5"/>
        <v>0</v>
      </c>
      <c r="O17" s="179">
        <f t="shared" si="5"/>
        <v>0</v>
      </c>
      <c r="P17" s="179">
        <f t="shared" si="5"/>
        <v>0</v>
      </c>
      <c r="Q17" s="179">
        <f t="shared" si="5"/>
        <v>0</v>
      </c>
      <c r="R17" s="179">
        <f t="shared" si="5"/>
        <v>0</v>
      </c>
      <c r="S17" s="179">
        <f t="shared" si="5"/>
        <v>0</v>
      </c>
      <c r="T17" s="179">
        <f t="shared" si="5"/>
        <v>0</v>
      </c>
      <c r="U17" s="179">
        <f t="shared" si="5"/>
        <v>0</v>
      </c>
      <c r="V17" s="179">
        <f t="shared" si="5"/>
        <v>0</v>
      </c>
      <c r="W17" s="179">
        <f t="shared" si="6"/>
        <v>0</v>
      </c>
      <c r="X17" s="179">
        <f t="shared" si="6"/>
        <v>0</v>
      </c>
      <c r="Y17" s="179">
        <f t="shared" si="6"/>
        <v>0</v>
      </c>
      <c r="Z17" s="179">
        <f t="shared" si="6"/>
        <v>0</v>
      </c>
      <c r="AA17" s="213">
        <f t="shared" si="6"/>
        <v>0</v>
      </c>
      <c r="AB17" s="213">
        <f t="shared" si="6"/>
        <v>0</v>
      </c>
      <c r="AC17" s="214">
        <f t="shared" si="6"/>
        <v>0</v>
      </c>
      <c r="AD17" s="215">
        <f t="shared" si="38"/>
        <v>0.32291666666666674</v>
      </c>
      <c r="AE17" s="216">
        <f t="shared" si="41"/>
        <v>0</v>
      </c>
      <c r="AF17" s="217">
        <f t="shared" si="42"/>
        <v>0</v>
      </c>
      <c r="AG17" s="218"/>
      <c r="AH17" s="219"/>
      <c r="AI17" s="220"/>
      <c r="AJ17" s="219"/>
      <c r="AK17" s="220"/>
      <c r="AL17" s="219"/>
      <c r="AM17" s="220"/>
      <c r="AN17" s="221"/>
      <c r="AO17" s="222" t="s">
        <v>651</v>
      </c>
      <c r="AP17" s="223"/>
      <c r="AQ17" s="224"/>
      <c r="AR17" s="225"/>
      <c r="AS17" s="226" t="s">
        <v>464</v>
      </c>
      <c r="AT17" s="226" t="s">
        <v>464</v>
      </c>
      <c r="AU17" s="227"/>
      <c r="AV17" s="228">
        <v>0.375</v>
      </c>
      <c r="AW17" s="198">
        <v>0.73958333333333337</v>
      </c>
      <c r="AX17" s="229">
        <f t="shared" si="39"/>
        <v>0.32291666666666669</v>
      </c>
      <c r="AY17" s="230">
        <f t="shared" si="40"/>
        <v>0.32291666666666669</v>
      </c>
      <c r="AZ17" s="201" t="s">
        <v>649</v>
      </c>
      <c r="BA17" s="202" t="s">
        <v>121</v>
      </c>
      <c r="BB17" s="203">
        <v>0.32291666666666669</v>
      </c>
      <c r="BC17" s="201"/>
      <c r="BD17" s="202" t="s">
        <v>464</v>
      </c>
      <c r="BE17" s="203"/>
      <c r="BF17" s="236"/>
      <c r="BG17" s="202" t="s">
        <v>464</v>
      </c>
      <c r="BH17" s="203"/>
      <c r="BI17" s="236"/>
      <c r="BJ17" s="202" t="s">
        <v>464</v>
      </c>
      <c r="BK17" s="203"/>
      <c r="BL17" s="236"/>
      <c r="BM17" s="202" t="s">
        <v>464</v>
      </c>
      <c r="BN17" s="203"/>
      <c r="BO17" s="236"/>
      <c r="BP17" s="202" t="s">
        <v>464</v>
      </c>
      <c r="BQ17" s="203"/>
      <c r="BR17" s="236"/>
      <c r="BS17" s="202" t="s">
        <v>464</v>
      </c>
      <c r="BT17" s="203"/>
      <c r="BU17" s="236"/>
      <c r="BV17" s="202" t="s">
        <v>464</v>
      </c>
      <c r="BW17" s="203"/>
      <c r="BX17" s="236"/>
      <c r="BY17" s="202" t="s">
        <v>464</v>
      </c>
      <c r="BZ17" s="203"/>
      <c r="CA17" s="236"/>
      <c r="CB17" s="202" t="s">
        <v>464</v>
      </c>
      <c r="CC17" s="203"/>
      <c r="CD17" s="142"/>
      <c r="CE17" s="115" t="str">
        <f t="shared" si="7"/>
        <v>PR-233320101</v>
      </c>
      <c r="CF17" s="115">
        <f t="shared" si="8"/>
        <v>0</v>
      </c>
      <c r="CG17" s="115">
        <f t="shared" si="9"/>
        <v>0</v>
      </c>
      <c r="CH17" s="115">
        <f t="shared" si="10"/>
        <v>0</v>
      </c>
      <c r="CI17" s="115">
        <f t="shared" si="11"/>
        <v>0</v>
      </c>
      <c r="CJ17" s="115">
        <f t="shared" si="12"/>
        <v>0</v>
      </c>
      <c r="CK17" s="115">
        <f t="shared" si="13"/>
        <v>0</v>
      </c>
      <c r="CL17" s="115">
        <f t="shared" si="14"/>
        <v>0</v>
      </c>
      <c r="CM17" s="115">
        <f t="shared" si="15"/>
        <v>0</v>
      </c>
      <c r="CN17" s="115">
        <f t="shared" si="16"/>
        <v>0</v>
      </c>
      <c r="CP17" s="115" t="str">
        <f t="shared" si="17"/>
        <v>1.00</v>
      </c>
      <c r="CQ17" s="115" t="str">
        <f t="shared" si="18"/>
        <v/>
      </c>
      <c r="CR17" s="115" t="str">
        <f t="shared" si="19"/>
        <v/>
      </c>
      <c r="CS17" s="115" t="str">
        <f t="shared" si="20"/>
        <v/>
      </c>
      <c r="CT17" s="115" t="str">
        <f t="shared" si="21"/>
        <v/>
      </c>
      <c r="CU17" s="115" t="str">
        <f t="shared" si="22"/>
        <v/>
      </c>
      <c r="CV17" s="115" t="str">
        <f t="shared" si="23"/>
        <v/>
      </c>
      <c r="CW17" s="115" t="str">
        <f t="shared" si="24"/>
        <v/>
      </c>
      <c r="CX17" s="115" t="str">
        <f t="shared" si="25"/>
        <v/>
      </c>
      <c r="CY17" s="115" t="str">
        <f t="shared" si="26"/>
        <v/>
      </c>
      <c r="DA17" s="115">
        <f t="shared" si="27"/>
        <v>0.32291666666666669</v>
      </c>
      <c r="DB17" s="115">
        <f t="shared" si="28"/>
        <v>0</v>
      </c>
      <c r="DC17" s="115">
        <f t="shared" si="29"/>
        <v>0</v>
      </c>
      <c r="DD17" s="115">
        <f t="shared" si="30"/>
        <v>0</v>
      </c>
      <c r="DE17" s="115">
        <f t="shared" si="31"/>
        <v>0</v>
      </c>
      <c r="DF17" s="115">
        <f t="shared" si="32"/>
        <v>0</v>
      </c>
      <c r="DG17" s="115">
        <f t="shared" si="33"/>
        <v>0</v>
      </c>
      <c r="DH17" s="115">
        <f t="shared" si="34"/>
        <v>0</v>
      </c>
      <c r="DI17" s="115">
        <f t="shared" si="35"/>
        <v>0</v>
      </c>
      <c r="DJ17" s="115">
        <f t="shared" si="36"/>
        <v>0</v>
      </c>
    </row>
    <row r="18" spans="2:114">
      <c r="B18" s="167">
        <f t="shared" si="37"/>
        <v>44663</v>
      </c>
      <c r="C18" s="168">
        <f t="shared" si="0"/>
        <v>44663</v>
      </c>
      <c r="D18" s="169" t="str">
        <f t="shared" si="1"/>
        <v>火</v>
      </c>
      <c r="E18" s="170" t="str">
        <f t="shared" si="2"/>
        <v/>
      </c>
      <c r="F18" s="207">
        <f t="shared" si="3"/>
        <v>0.33333333333333331</v>
      </c>
      <c r="G18" s="208">
        <f t="shared" si="3"/>
        <v>0.70833333333333337</v>
      </c>
      <c r="H18" s="173"/>
      <c r="I18" s="209"/>
      <c r="J18" s="210" t="str">
        <f t="shared" si="4"/>
        <v/>
      </c>
      <c r="K18" s="211" t="str">
        <f t="shared" si="4"/>
        <v/>
      </c>
      <c r="L18" s="233" t="str">
        <f t="shared" si="4"/>
        <v/>
      </c>
      <c r="M18" s="178">
        <f t="shared" si="5"/>
        <v>0.33333333333333331</v>
      </c>
      <c r="N18" s="179">
        <f t="shared" si="5"/>
        <v>0</v>
      </c>
      <c r="O18" s="179">
        <f t="shared" si="5"/>
        <v>0</v>
      </c>
      <c r="P18" s="179">
        <f t="shared" si="5"/>
        <v>0</v>
      </c>
      <c r="Q18" s="179">
        <f t="shared" si="5"/>
        <v>0</v>
      </c>
      <c r="R18" s="179">
        <f t="shared" si="5"/>
        <v>0</v>
      </c>
      <c r="S18" s="179">
        <f t="shared" si="5"/>
        <v>0</v>
      </c>
      <c r="T18" s="179">
        <f t="shared" si="5"/>
        <v>0</v>
      </c>
      <c r="U18" s="179">
        <f t="shared" si="5"/>
        <v>0</v>
      </c>
      <c r="V18" s="179">
        <f t="shared" si="5"/>
        <v>0</v>
      </c>
      <c r="W18" s="179">
        <f t="shared" si="6"/>
        <v>0</v>
      </c>
      <c r="X18" s="179">
        <f t="shared" si="6"/>
        <v>0</v>
      </c>
      <c r="Y18" s="179">
        <f t="shared" si="6"/>
        <v>0</v>
      </c>
      <c r="Z18" s="179">
        <f t="shared" si="6"/>
        <v>0</v>
      </c>
      <c r="AA18" s="213">
        <f t="shared" si="6"/>
        <v>0</v>
      </c>
      <c r="AB18" s="213">
        <f t="shared" si="6"/>
        <v>0</v>
      </c>
      <c r="AC18" s="214">
        <f t="shared" si="6"/>
        <v>0</v>
      </c>
      <c r="AD18" s="215">
        <f t="shared" si="38"/>
        <v>0.33333333333333326</v>
      </c>
      <c r="AE18" s="216">
        <f t="shared" si="41"/>
        <v>0</v>
      </c>
      <c r="AF18" s="217">
        <f t="shared" si="42"/>
        <v>0</v>
      </c>
      <c r="AG18" s="218"/>
      <c r="AH18" s="219"/>
      <c r="AI18" s="220"/>
      <c r="AJ18" s="219"/>
      <c r="AK18" s="220"/>
      <c r="AL18" s="219"/>
      <c r="AM18" s="220"/>
      <c r="AN18" s="221"/>
      <c r="AO18" s="222" t="s">
        <v>651</v>
      </c>
      <c r="AP18" s="223"/>
      <c r="AQ18" s="224"/>
      <c r="AR18" s="225"/>
      <c r="AS18" s="226" t="s">
        <v>464</v>
      </c>
      <c r="AT18" s="226" t="s">
        <v>464</v>
      </c>
      <c r="AU18" s="227"/>
      <c r="AV18" s="228">
        <v>0.33333333333333331</v>
      </c>
      <c r="AW18" s="198">
        <v>0.70833333333333337</v>
      </c>
      <c r="AX18" s="229">
        <f t="shared" si="39"/>
        <v>0.33333333333333337</v>
      </c>
      <c r="AY18" s="230">
        <f t="shared" si="40"/>
        <v>0.33333333333333331</v>
      </c>
      <c r="AZ18" s="201" t="s">
        <v>649</v>
      </c>
      <c r="BA18" s="202" t="s">
        <v>121</v>
      </c>
      <c r="BB18" s="203">
        <v>0.33333333333333331</v>
      </c>
      <c r="BC18" s="201"/>
      <c r="BD18" s="202" t="s">
        <v>464</v>
      </c>
      <c r="BE18" s="203"/>
      <c r="BF18" s="201"/>
      <c r="BG18" s="202" t="s">
        <v>464</v>
      </c>
      <c r="BH18" s="203"/>
      <c r="BI18" s="201"/>
      <c r="BJ18" s="202" t="s">
        <v>464</v>
      </c>
      <c r="BK18" s="203"/>
      <c r="BL18" s="201"/>
      <c r="BM18" s="202" t="s">
        <v>464</v>
      </c>
      <c r="BN18" s="203"/>
      <c r="BO18" s="236"/>
      <c r="BP18" s="202" t="s">
        <v>464</v>
      </c>
      <c r="BQ18" s="203"/>
      <c r="BR18" s="236"/>
      <c r="BS18" s="202" t="s">
        <v>464</v>
      </c>
      <c r="BT18" s="203"/>
      <c r="BU18" s="236"/>
      <c r="BV18" s="202" t="s">
        <v>464</v>
      </c>
      <c r="BW18" s="203"/>
      <c r="BX18" s="236"/>
      <c r="BY18" s="202" t="s">
        <v>464</v>
      </c>
      <c r="BZ18" s="203"/>
      <c r="CA18" s="236"/>
      <c r="CB18" s="202" t="s">
        <v>464</v>
      </c>
      <c r="CC18" s="203"/>
      <c r="CD18" s="142"/>
      <c r="CE18" s="115" t="str">
        <f t="shared" si="7"/>
        <v>PR-233320101</v>
      </c>
      <c r="CF18" s="115">
        <f t="shared" si="8"/>
        <v>0</v>
      </c>
      <c r="CG18" s="115">
        <f t="shared" si="9"/>
        <v>0</v>
      </c>
      <c r="CH18" s="115">
        <f t="shared" si="10"/>
        <v>0</v>
      </c>
      <c r="CI18" s="115">
        <f t="shared" si="11"/>
        <v>0</v>
      </c>
      <c r="CJ18" s="115">
        <f t="shared" si="12"/>
        <v>0</v>
      </c>
      <c r="CK18" s="115">
        <f t="shared" si="13"/>
        <v>0</v>
      </c>
      <c r="CL18" s="115">
        <f t="shared" si="14"/>
        <v>0</v>
      </c>
      <c r="CM18" s="115">
        <f t="shared" si="15"/>
        <v>0</v>
      </c>
      <c r="CN18" s="115">
        <f t="shared" si="16"/>
        <v>0</v>
      </c>
      <c r="CP18" s="115" t="str">
        <f t="shared" si="17"/>
        <v>1.00</v>
      </c>
      <c r="CQ18" s="115" t="str">
        <f t="shared" si="18"/>
        <v/>
      </c>
      <c r="CR18" s="115" t="str">
        <f t="shared" si="19"/>
        <v/>
      </c>
      <c r="CS18" s="115" t="str">
        <f t="shared" si="20"/>
        <v/>
      </c>
      <c r="CT18" s="115" t="str">
        <f t="shared" si="21"/>
        <v/>
      </c>
      <c r="CU18" s="115" t="str">
        <f t="shared" si="22"/>
        <v/>
      </c>
      <c r="CV18" s="115" t="str">
        <f t="shared" si="23"/>
        <v/>
      </c>
      <c r="CW18" s="115" t="str">
        <f t="shared" si="24"/>
        <v/>
      </c>
      <c r="CX18" s="115" t="str">
        <f t="shared" si="25"/>
        <v/>
      </c>
      <c r="CY18" s="115" t="str">
        <f t="shared" si="26"/>
        <v/>
      </c>
      <c r="DA18" s="115">
        <f t="shared" si="27"/>
        <v>0.33333333333333331</v>
      </c>
      <c r="DB18" s="115">
        <f t="shared" si="28"/>
        <v>0</v>
      </c>
      <c r="DC18" s="115">
        <f t="shared" si="29"/>
        <v>0</v>
      </c>
      <c r="DD18" s="115">
        <f t="shared" si="30"/>
        <v>0</v>
      </c>
      <c r="DE18" s="115">
        <f t="shared" si="31"/>
        <v>0</v>
      </c>
      <c r="DF18" s="115">
        <f t="shared" si="32"/>
        <v>0</v>
      </c>
      <c r="DG18" s="115">
        <f t="shared" si="33"/>
        <v>0</v>
      </c>
      <c r="DH18" s="115">
        <f t="shared" si="34"/>
        <v>0</v>
      </c>
      <c r="DI18" s="115">
        <f t="shared" si="35"/>
        <v>0</v>
      </c>
      <c r="DJ18" s="115">
        <f t="shared" si="36"/>
        <v>0</v>
      </c>
    </row>
    <row r="19" spans="2:114">
      <c r="B19" s="167">
        <f t="shared" si="37"/>
        <v>44664</v>
      </c>
      <c r="C19" s="168">
        <f t="shared" si="0"/>
        <v>44664</v>
      </c>
      <c r="D19" s="169" t="str">
        <f t="shared" si="1"/>
        <v>水</v>
      </c>
      <c r="E19" s="170" t="str">
        <f t="shared" si="2"/>
        <v/>
      </c>
      <c r="F19" s="207">
        <f t="shared" si="3"/>
        <v>0.375</v>
      </c>
      <c r="G19" s="208">
        <f t="shared" si="3"/>
        <v>0.73958333333333337</v>
      </c>
      <c r="H19" s="173"/>
      <c r="I19" s="209"/>
      <c r="J19" s="210" t="str">
        <f t="shared" si="4"/>
        <v/>
      </c>
      <c r="K19" s="211" t="str">
        <f t="shared" si="4"/>
        <v/>
      </c>
      <c r="L19" s="233" t="str">
        <f t="shared" si="4"/>
        <v/>
      </c>
      <c r="M19" s="178">
        <f t="shared" si="5"/>
        <v>0.32291666666666669</v>
      </c>
      <c r="N19" s="179">
        <f t="shared" si="5"/>
        <v>0</v>
      </c>
      <c r="O19" s="179">
        <f t="shared" si="5"/>
        <v>0</v>
      </c>
      <c r="P19" s="179">
        <f t="shared" si="5"/>
        <v>0</v>
      </c>
      <c r="Q19" s="179">
        <f t="shared" si="5"/>
        <v>0</v>
      </c>
      <c r="R19" s="179">
        <f t="shared" si="5"/>
        <v>0</v>
      </c>
      <c r="S19" s="179">
        <f t="shared" si="5"/>
        <v>0</v>
      </c>
      <c r="T19" s="179">
        <f t="shared" si="5"/>
        <v>0</v>
      </c>
      <c r="U19" s="179">
        <f t="shared" si="5"/>
        <v>0</v>
      </c>
      <c r="V19" s="179">
        <f t="shared" si="5"/>
        <v>0</v>
      </c>
      <c r="W19" s="179">
        <f t="shared" si="6"/>
        <v>0</v>
      </c>
      <c r="X19" s="179">
        <f t="shared" si="6"/>
        <v>0</v>
      </c>
      <c r="Y19" s="179">
        <f t="shared" si="6"/>
        <v>0</v>
      </c>
      <c r="Z19" s="179">
        <f t="shared" si="6"/>
        <v>0</v>
      </c>
      <c r="AA19" s="213">
        <f t="shared" si="6"/>
        <v>0</v>
      </c>
      <c r="AB19" s="213">
        <f t="shared" si="6"/>
        <v>0</v>
      </c>
      <c r="AC19" s="214">
        <f t="shared" si="6"/>
        <v>0</v>
      </c>
      <c r="AD19" s="215">
        <f t="shared" si="38"/>
        <v>0.32291666666666674</v>
      </c>
      <c r="AE19" s="216">
        <f t="shared" si="41"/>
        <v>0</v>
      </c>
      <c r="AF19" s="217">
        <f t="shared" si="42"/>
        <v>0</v>
      </c>
      <c r="AG19" s="218"/>
      <c r="AH19" s="219"/>
      <c r="AI19" s="220"/>
      <c r="AJ19" s="219"/>
      <c r="AK19" s="220"/>
      <c r="AL19" s="219"/>
      <c r="AM19" s="220"/>
      <c r="AN19" s="221"/>
      <c r="AO19" s="234" t="s">
        <v>464</v>
      </c>
      <c r="AP19" s="235"/>
      <c r="AQ19" s="224"/>
      <c r="AR19" s="225"/>
      <c r="AS19" s="226" t="s">
        <v>464</v>
      </c>
      <c r="AT19" s="226" t="s">
        <v>464</v>
      </c>
      <c r="AU19" s="227"/>
      <c r="AV19" s="228">
        <v>0.375</v>
      </c>
      <c r="AW19" s="198">
        <v>0.73958333333333337</v>
      </c>
      <c r="AX19" s="229">
        <f t="shared" si="39"/>
        <v>0.32291666666666669</v>
      </c>
      <c r="AY19" s="230">
        <f t="shared" si="40"/>
        <v>0.32291666666666669</v>
      </c>
      <c r="AZ19" s="201" t="s">
        <v>649</v>
      </c>
      <c r="BA19" s="202" t="s">
        <v>121</v>
      </c>
      <c r="BB19" s="203">
        <v>0.32291666666666669</v>
      </c>
      <c r="BC19" s="201"/>
      <c r="BD19" s="202" t="s">
        <v>464</v>
      </c>
      <c r="BE19" s="203"/>
      <c r="BF19" s="201"/>
      <c r="BG19" s="202" t="s">
        <v>464</v>
      </c>
      <c r="BH19" s="203"/>
      <c r="BI19" s="201"/>
      <c r="BJ19" s="202" t="s">
        <v>464</v>
      </c>
      <c r="BK19" s="203"/>
      <c r="BL19" s="236"/>
      <c r="BM19" s="202" t="s">
        <v>464</v>
      </c>
      <c r="BN19" s="203"/>
      <c r="BO19" s="201"/>
      <c r="BP19" s="202" t="s">
        <v>464</v>
      </c>
      <c r="BQ19" s="203"/>
      <c r="BR19" s="236"/>
      <c r="BS19" s="202" t="s">
        <v>464</v>
      </c>
      <c r="BT19" s="203"/>
      <c r="BU19" s="236"/>
      <c r="BV19" s="202" t="s">
        <v>464</v>
      </c>
      <c r="BW19" s="203"/>
      <c r="BX19" s="236"/>
      <c r="BY19" s="202" t="s">
        <v>464</v>
      </c>
      <c r="BZ19" s="203"/>
      <c r="CA19" s="236"/>
      <c r="CB19" s="202" t="s">
        <v>464</v>
      </c>
      <c r="CC19" s="203"/>
      <c r="CD19" s="142"/>
      <c r="CE19" s="115" t="str">
        <f t="shared" si="7"/>
        <v>PR-233320101</v>
      </c>
      <c r="CF19" s="115">
        <f t="shared" si="8"/>
        <v>0</v>
      </c>
      <c r="CG19" s="115">
        <f t="shared" si="9"/>
        <v>0</v>
      </c>
      <c r="CH19" s="115">
        <f t="shared" si="10"/>
        <v>0</v>
      </c>
      <c r="CI19" s="115">
        <f t="shared" si="11"/>
        <v>0</v>
      </c>
      <c r="CJ19" s="115">
        <f t="shared" si="12"/>
        <v>0</v>
      </c>
      <c r="CK19" s="115">
        <f t="shared" si="13"/>
        <v>0</v>
      </c>
      <c r="CL19" s="115">
        <f t="shared" si="14"/>
        <v>0</v>
      </c>
      <c r="CM19" s="115">
        <f t="shared" si="15"/>
        <v>0</v>
      </c>
      <c r="CN19" s="115">
        <f t="shared" si="16"/>
        <v>0</v>
      </c>
      <c r="CP19" s="115" t="str">
        <f t="shared" si="17"/>
        <v>1.00</v>
      </c>
      <c r="CQ19" s="115" t="str">
        <f t="shared" si="18"/>
        <v/>
      </c>
      <c r="CR19" s="115" t="str">
        <f t="shared" si="19"/>
        <v/>
      </c>
      <c r="CS19" s="115" t="str">
        <f t="shared" si="20"/>
        <v/>
      </c>
      <c r="CT19" s="115" t="str">
        <f t="shared" si="21"/>
        <v/>
      </c>
      <c r="CU19" s="115" t="str">
        <f t="shared" si="22"/>
        <v/>
      </c>
      <c r="CV19" s="115" t="str">
        <f t="shared" si="23"/>
        <v/>
      </c>
      <c r="CW19" s="115" t="str">
        <f t="shared" si="24"/>
        <v/>
      </c>
      <c r="CX19" s="115" t="str">
        <f t="shared" si="25"/>
        <v/>
      </c>
      <c r="CY19" s="115" t="str">
        <f t="shared" si="26"/>
        <v/>
      </c>
      <c r="DA19" s="115">
        <f t="shared" si="27"/>
        <v>0.32291666666666669</v>
      </c>
      <c r="DB19" s="115">
        <f t="shared" si="28"/>
        <v>0</v>
      </c>
      <c r="DC19" s="115">
        <f t="shared" si="29"/>
        <v>0</v>
      </c>
      <c r="DD19" s="115">
        <f t="shared" si="30"/>
        <v>0</v>
      </c>
      <c r="DE19" s="115">
        <f t="shared" si="31"/>
        <v>0</v>
      </c>
      <c r="DF19" s="115">
        <f t="shared" si="32"/>
        <v>0</v>
      </c>
      <c r="DG19" s="115">
        <f t="shared" si="33"/>
        <v>0</v>
      </c>
      <c r="DH19" s="115">
        <f t="shared" si="34"/>
        <v>0</v>
      </c>
      <c r="DI19" s="115">
        <f t="shared" si="35"/>
        <v>0</v>
      </c>
      <c r="DJ19" s="115">
        <f t="shared" si="36"/>
        <v>0</v>
      </c>
    </row>
    <row r="20" spans="2:114">
      <c r="B20" s="167">
        <f t="shared" si="37"/>
        <v>44665</v>
      </c>
      <c r="C20" s="168">
        <f t="shared" si="0"/>
        <v>44665</v>
      </c>
      <c r="D20" s="169" t="str">
        <f t="shared" si="1"/>
        <v>木</v>
      </c>
      <c r="E20" s="170" t="str">
        <f t="shared" si="2"/>
        <v/>
      </c>
      <c r="F20" s="207">
        <f t="shared" si="3"/>
        <v>0.33333333333333331</v>
      </c>
      <c r="G20" s="208">
        <f t="shared" si="3"/>
        <v>0.70833333333333337</v>
      </c>
      <c r="H20" s="173"/>
      <c r="I20" s="209"/>
      <c r="J20" s="210" t="str">
        <f t="shared" si="4"/>
        <v/>
      </c>
      <c r="K20" s="211" t="str">
        <f t="shared" si="4"/>
        <v/>
      </c>
      <c r="L20" s="233" t="str">
        <f t="shared" si="4"/>
        <v/>
      </c>
      <c r="M20" s="178">
        <f t="shared" si="5"/>
        <v>0.33333333333333331</v>
      </c>
      <c r="N20" s="179">
        <f t="shared" si="5"/>
        <v>0</v>
      </c>
      <c r="O20" s="179">
        <f t="shared" si="5"/>
        <v>0</v>
      </c>
      <c r="P20" s="179">
        <f t="shared" si="5"/>
        <v>0</v>
      </c>
      <c r="Q20" s="179">
        <f t="shared" si="5"/>
        <v>0</v>
      </c>
      <c r="R20" s="179">
        <f t="shared" si="5"/>
        <v>0</v>
      </c>
      <c r="S20" s="179">
        <f t="shared" si="5"/>
        <v>0</v>
      </c>
      <c r="T20" s="179">
        <f t="shared" si="5"/>
        <v>0</v>
      </c>
      <c r="U20" s="179">
        <f t="shared" si="5"/>
        <v>0</v>
      </c>
      <c r="V20" s="179">
        <f t="shared" si="5"/>
        <v>0</v>
      </c>
      <c r="W20" s="179">
        <f t="shared" si="6"/>
        <v>0</v>
      </c>
      <c r="X20" s="179">
        <f t="shared" si="6"/>
        <v>0</v>
      </c>
      <c r="Y20" s="179">
        <f t="shared" si="6"/>
        <v>0</v>
      </c>
      <c r="Z20" s="179">
        <f t="shared" si="6"/>
        <v>0</v>
      </c>
      <c r="AA20" s="213">
        <f t="shared" si="6"/>
        <v>0</v>
      </c>
      <c r="AB20" s="213">
        <f t="shared" si="6"/>
        <v>0</v>
      </c>
      <c r="AC20" s="214">
        <f t="shared" si="6"/>
        <v>0</v>
      </c>
      <c r="AD20" s="215">
        <f t="shared" si="38"/>
        <v>0.33333333333333326</v>
      </c>
      <c r="AE20" s="216">
        <f t="shared" si="41"/>
        <v>0</v>
      </c>
      <c r="AF20" s="217">
        <f t="shared" si="42"/>
        <v>0</v>
      </c>
      <c r="AG20" s="218"/>
      <c r="AH20" s="219"/>
      <c r="AI20" s="220"/>
      <c r="AJ20" s="219"/>
      <c r="AK20" s="220"/>
      <c r="AL20" s="219"/>
      <c r="AM20" s="220"/>
      <c r="AN20" s="221"/>
      <c r="AO20" s="234" t="s">
        <v>651</v>
      </c>
      <c r="AP20" s="235"/>
      <c r="AQ20" s="224"/>
      <c r="AR20" s="225"/>
      <c r="AS20" s="226" t="s">
        <v>464</v>
      </c>
      <c r="AT20" s="226" t="s">
        <v>464</v>
      </c>
      <c r="AU20" s="227"/>
      <c r="AV20" s="228">
        <v>0.33333333333333331</v>
      </c>
      <c r="AW20" s="198">
        <v>0.70833333333333337</v>
      </c>
      <c r="AX20" s="229">
        <f t="shared" si="39"/>
        <v>0.33333333333333337</v>
      </c>
      <c r="AY20" s="230">
        <f t="shared" si="40"/>
        <v>0.33333333333333331</v>
      </c>
      <c r="AZ20" s="201" t="s">
        <v>649</v>
      </c>
      <c r="BA20" s="202" t="s">
        <v>121</v>
      </c>
      <c r="BB20" s="203">
        <v>0.33333333333333331</v>
      </c>
      <c r="BC20" s="236"/>
      <c r="BD20" s="202" t="s">
        <v>464</v>
      </c>
      <c r="BE20" s="203"/>
      <c r="BF20" s="236"/>
      <c r="BG20" s="202" t="s">
        <v>464</v>
      </c>
      <c r="BH20" s="203"/>
      <c r="BI20" s="236"/>
      <c r="BJ20" s="202" t="s">
        <v>464</v>
      </c>
      <c r="BK20" s="203"/>
      <c r="BL20" s="236"/>
      <c r="BM20" s="202" t="s">
        <v>464</v>
      </c>
      <c r="BN20" s="203"/>
      <c r="BO20" s="236"/>
      <c r="BP20" s="202" t="s">
        <v>464</v>
      </c>
      <c r="BQ20" s="203"/>
      <c r="BR20" s="236"/>
      <c r="BS20" s="202" t="s">
        <v>464</v>
      </c>
      <c r="BT20" s="203"/>
      <c r="BU20" s="236"/>
      <c r="BV20" s="202" t="s">
        <v>464</v>
      </c>
      <c r="BW20" s="203"/>
      <c r="BX20" s="236"/>
      <c r="BY20" s="202" t="s">
        <v>464</v>
      </c>
      <c r="BZ20" s="203"/>
      <c r="CA20" s="236"/>
      <c r="CB20" s="202" t="s">
        <v>464</v>
      </c>
      <c r="CC20" s="203"/>
      <c r="CD20" s="142"/>
      <c r="CE20" s="115" t="str">
        <f t="shared" si="7"/>
        <v>PR-233320101</v>
      </c>
      <c r="CF20" s="115">
        <f t="shared" si="8"/>
        <v>0</v>
      </c>
      <c r="CG20" s="115">
        <f t="shared" si="9"/>
        <v>0</v>
      </c>
      <c r="CH20" s="115">
        <f t="shared" si="10"/>
        <v>0</v>
      </c>
      <c r="CI20" s="115">
        <f t="shared" si="11"/>
        <v>0</v>
      </c>
      <c r="CJ20" s="115">
        <f t="shared" si="12"/>
        <v>0</v>
      </c>
      <c r="CK20" s="115">
        <f t="shared" si="13"/>
        <v>0</v>
      </c>
      <c r="CL20" s="115">
        <f t="shared" si="14"/>
        <v>0</v>
      </c>
      <c r="CM20" s="115">
        <f t="shared" si="15"/>
        <v>0</v>
      </c>
      <c r="CN20" s="115">
        <f t="shared" si="16"/>
        <v>0</v>
      </c>
      <c r="CP20" s="115" t="str">
        <f t="shared" si="17"/>
        <v>1.00</v>
      </c>
      <c r="CQ20" s="115" t="str">
        <f t="shared" si="18"/>
        <v/>
      </c>
      <c r="CR20" s="115" t="str">
        <f t="shared" si="19"/>
        <v/>
      </c>
      <c r="CS20" s="115" t="str">
        <f t="shared" si="20"/>
        <v/>
      </c>
      <c r="CT20" s="115" t="str">
        <f t="shared" si="21"/>
        <v/>
      </c>
      <c r="CU20" s="115" t="str">
        <f t="shared" si="22"/>
        <v/>
      </c>
      <c r="CV20" s="115" t="str">
        <f t="shared" si="23"/>
        <v/>
      </c>
      <c r="CW20" s="115" t="str">
        <f t="shared" si="24"/>
        <v/>
      </c>
      <c r="CX20" s="115" t="str">
        <f t="shared" si="25"/>
        <v/>
      </c>
      <c r="CY20" s="115" t="str">
        <f t="shared" si="26"/>
        <v/>
      </c>
      <c r="DA20" s="115">
        <f t="shared" si="27"/>
        <v>0.33333333333333331</v>
      </c>
      <c r="DB20" s="115">
        <f t="shared" si="28"/>
        <v>0</v>
      </c>
      <c r="DC20" s="115">
        <f t="shared" si="29"/>
        <v>0</v>
      </c>
      <c r="DD20" s="115">
        <f t="shared" si="30"/>
        <v>0</v>
      </c>
      <c r="DE20" s="115">
        <f t="shared" si="31"/>
        <v>0</v>
      </c>
      <c r="DF20" s="115">
        <f t="shared" si="32"/>
        <v>0</v>
      </c>
      <c r="DG20" s="115">
        <f t="shared" si="33"/>
        <v>0</v>
      </c>
      <c r="DH20" s="115">
        <f t="shared" si="34"/>
        <v>0</v>
      </c>
      <c r="DI20" s="115">
        <f t="shared" si="35"/>
        <v>0</v>
      </c>
      <c r="DJ20" s="115">
        <f t="shared" si="36"/>
        <v>0</v>
      </c>
    </row>
    <row r="21" spans="2:114">
      <c r="B21" s="167">
        <f t="shared" si="37"/>
        <v>44666</v>
      </c>
      <c r="C21" s="168">
        <f t="shared" si="0"/>
        <v>44666</v>
      </c>
      <c r="D21" s="169" t="str">
        <f t="shared" si="1"/>
        <v>金</v>
      </c>
      <c r="E21" s="170" t="str">
        <f t="shared" si="2"/>
        <v/>
      </c>
      <c r="F21" s="207">
        <f t="shared" si="3"/>
        <v>0.375</v>
      </c>
      <c r="G21" s="208">
        <f t="shared" si="3"/>
        <v>0.73958333333333337</v>
      </c>
      <c r="H21" s="173"/>
      <c r="I21" s="209"/>
      <c r="J21" s="210" t="str">
        <f t="shared" si="4"/>
        <v/>
      </c>
      <c r="K21" s="211" t="str">
        <f t="shared" si="4"/>
        <v/>
      </c>
      <c r="L21" s="233" t="str">
        <f t="shared" si="4"/>
        <v/>
      </c>
      <c r="M21" s="178">
        <f t="shared" si="5"/>
        <v>0.32291666666666669</v>
      </c>
      <c r="N21" s="179">
        <f t="shared" si="5"/>
        <v>0</v>
      </c>
      <c r="O21" s="179">
        <f t="shared" si="5"/>
        <v>0</v>
      </c>
      <c r="P21" s="179">
        <f t="shared" si="5"/>
        <v>0</v>
      </c>
      <c r="Q21" s="179">
        <f t="shared" si="5"/>
        <v>0</v>
      </c>
      <c r="R21" s="179">
        <f t="shared" si="5"/>
        <v>0</v>
      </c>
      <c r="S21" s="179">
        <f t="shared" si="5"/>
        <v>0</v>
      </c>
      <c r="T21" s="179">
        <f t="shared" si="5"/>
        <v>0</v>
      </c>
      <c r="U21" s="179">
        <f t="shared" si="5"/>
        <v>0</v>
      </c>
      <c r="V21" s="179">
        <f t="shared" si="5"/>
        <v>0</v>
      </c>
      <c r="W21" s="179">
        <f t="shared" si="6"/>
        <v>0</v>
      </c>
      <c r="X21" s="179">
        <f t="shared" si="6"/>
        <v>0</v>
      </c>
      <c r="Y21" s="179">
        <f t="shared" si="6"/>
        <v>0</v>
      </c>
      <c r="Z21" s="179">
        <f t="shared" si="6"/>
        <v>0</v>
      </c>
      <c r="AA21" s="213">
        <f t="shared" si="6"/>
        <v>0</v>
      </c>
      <c r="AB21" s="213">
        <f t="shared" si="6"/>
        <v>0</v>
      </c>
      <c r="AC21" s="214">
        <f t="shared" si="6"/>
        <v>0</v>
      </c>
      <c r="AD21" s="215">
        <f t="shared" si="38"/>
        <v>0.32291666666666674</v>
      </c>
      <c r="AE21" s="216">
        <f t="shared" si="41"/>
        <v>0</v>
      </c>
      <c r="AF21" s="217">
        <f t="shared" si="42"/>
        <v>0</v>
      </c>
      <c r="AG21" s="218"/>
      <c r="AH21" s="219"/>
      <c r="AI21" s="220"/>
      <c r="AJ21" s="219"/>
      <c r="AK21" s="220"/>
      <c r="AL21" s="219"/>
      <c r="AM21" s="220"/>
      <c r="AN21" s="221"/>
      <c r="AO21" s="222" t="s">
        <v>651</v>
      </c>
      <c r="AP21" s="235"/>
      <c r="AQ21" s="224"/>
      <c r="AR21" s="225"/>
      <c r="AS21" s="226" t="s">
        <v>464</v>
      </c>
      <c r="AT21" s="226" t="s">
        <v>464</v>
      </c>
      <c r="AU21" s="227"/>
      <c r="AV21" s="228">
        <v>0.375</v>
      </c>
      <c r="AW21" s="198">
        <v>0.73958333333333337</v>
      </c>
      <c r="AX21" s="229">
        <f t="shared" si="39"/>
        <v>0.32291666666666669</v>
      </c>
      <c r="AY21" s="230">
        <f t="shared" si="40"/>
        <v>0.32291666666666669</v>
      </c>
      <c r="AZ21" s="201" t="s">
        <v>649</v>
      </c>
      <c r="BA21" s="202" t="s">
        <v>121</v>
      </c>
      <c r="BB21" s="203">
        <v>0.32291666666666669</v>
      </c>
      <c r="BC21" s="201"/>
      <c r="BD21" s="202" t="s">
        <v>464</v>
      </c>
      <c r="BE21" s="203"/>
      <c r="BF21" s="236"/>
      <c r="BG21" s="202" t="s">
        <v>464</v>
      </c>
      <c r="BH21" s="203"/>
      <c r="BI21" s="236"/>
      <c r="BJ21" s="202" t="s">
        <v>464</v>
      </c>
      <c r="BK21" s="203"/>
      <c r="BL21" s="236"/>
      <c r="BM21" s="202" t="s">
        <v>464</v>
      </c>
      <c r="BN21" s="203"/>
      <c r="BO21" s="236"/>
      <c r="BP21" s="202" t="s">
        <v>464</v>
      </c>
      <c r="BQ21" s="203"/>
      <c r="BR21" s="236"/>
      <c r="BS21" s="202" t="s">
        <v>464</v>
      </c>
      <c r="BT21" s="203"/>
      <c r="BU21" s="236"/>
      <c r="BV21" s="202" t="s">
        <v>464</v>
      </c>
      <c r="BW21" s="203"/>
      <c r="BX21" s="236"/>
      <c r="BY21" s="202" t="s">
        <v>464</v>
      </c>
      <c r="BZ21" s="203"/>
      <c r="CA21" s="236"/>
      <c r="CB21" s="202" t="s">
        <v>464</v>
      </c>
      <c r="CC21" s="203"/>
      <c r="CD21" s="142"/>
      <c r="CE21" s="115" t="str">
        <f t="shared" si="7"/>
        <v>PR-233320101</v>
      </c>
      <c r="CF21" s="115">
        <f t="shared" si="8"/>
        <v>0</v>
      </c>
      <c r="CG21" s="115">
        <f t="shared" si="9"/>
        <v>0</v>
      </c>
      <c r="CH21" s="115">
        <f t="shared" si="10"/>
        <v>0</v>
      </c>
      <c r="CI21" s="115">
        <f t="shared" si="11"/>
        <v>0</v>
      </c>
      <c r="CJ21" s="115">
        <f t="shared" si="12"/>
        <v>0</v>
      </c>
      <c r="CK21" s="115">
        <f t="shared" si="13"/>
        <v>0</v>
      </c>
      <c r="CL21" s="115">
        <f t="shared" si="14"/>
        <v>0</v>
      </c>
      <c r="CM21" s="115">
        <f t="shared" si="15"/>
        <v>0</v>
      </c>
      <c r="CN21" s="115">
        <f t="shared" si="16"/>
        <v>0</v>
      </c>
      <c r="CP21" s="115" t="str">
        <f t="shared" si="17"/>
        <v>1.00</v>
      </c>
      <c r="CQ21" s="115" t="str">
        <f t="shared" si="18"/>
        <v/>
      </c>
      <c r="CR21" s="115" t="str">
        <f t="shared" si="19"/>
        <v/>
      </c>
      <c r="CS21" s="115" t="str">
        <f t="shared" si="20"/>
        <v/>
      </c>
      <c r="CT21" s="115" t="str">
        <f t="shared" si="21"/>
        <v/>
      </c>
      <c r="CU21" s="115" t="str">
        <f t="shared" si="22"/>
        <v/>
      </c>
      <c r="CV21" s="115" t="str">
        <f t="shared" si="23"/>
        <v/>
      </c>
      <c r="CW21" s="115" t="str">
        <f t="shared" si="24"/>
        <v/>
      </c>
      <c r="CX21" s="115" t="str">
        <f t="shared" si="25"/>
        <v/>
      </c>
      <c r="CY21" s="115" t="str">
        <f t="shared" si="26"/>
        <v/>
      </c>
      <c r="DA21" s="115">
        <f t="shared" si="27"/>
        <v>0.32291666666666669</v>
      </c>
      <c r="DB21" s="115">
        <f t="shared" si="28"/>
        <v>0</v>
      </c>
      <c r="DC21" s="115">
        <f t="shared" si="29"/>
        <v>0</v>
      </c>
      <c r="DD21" s="115">
        <f t="shared" si="30"/>
        <v>0</v>
      </c>
      <c r="DE21" s="115">
        <f t="shared" si="31"/>
        <v>0</v>
      </c>
      <c r="DF21" s="115">
        <f t="shared" si="32"/>
        <v>0</v>
      </c>
      <c r="DG21" s="115">
        <f t="shared" si="33"/>
        <v>0</v>
      </c>
      <c r="DH21" s="115">
        <f t="shared" si="34"/>
        <v>0</v>
      </c>
      <c r="DI21" s="115">
        <f t="shared" si="35"/>
        <v>0</v>
      </c>
      <c r="DJ21" s="115">
        <f t="shared" si="36"/>
        <v>0</v>
      </c>
    </row>
    <row r="22" spans="2:114">
      <c r="B22" s="167">
        <f t="shared" si="37"/>
        <v>44667</v>
      </c>
      <c r="C22" s="168">
        <f t="shared" si="0"/>
        <v>44667</v>
      </c>
      <c r="D22" s="169" t="str">
        <f t="shared" si="1"/>
        <v>土</v>
      </c>
      <c r="E22" s="170" t="str">
        <f t="shared" si="2"/>
        <v>法定外</v>
      </c>
      <c r="F22" s="207">
        <f t="shared" si="3"/>
        <v>0</v>
      </c>
      <c r="G22" s="208">
        <f t="shared" si="3"/>
        <v>0</v>
      </c>
      <c r="H22" s="173"/>
      <c r="I22" s="209"/>
      <c r="J22" s="210" t="str">
        <f t="shared" si="4"/>
        <v/>
      </c>
      <c r="K22" s="211" t="str">
        <f t="shared" si="4"/>
        <v/>
      </c>
      <c r="L22" s="233" t="str">
        <f t="shared" si="4"/>
        <v/>
      </c>
      <c r="M22" s="178">
        <f t="shared" si="5"/>
        <v>0</v>
      </c>
      <c r="N22" s="179">
        <f t="shared" si="5"/>
        <v>0</v>
      </c>
      <c r="O22" s="179">
        <f t="shared" si="5"/>
        <v>0</v>
      </c>
      <c r="P22" s="179">
        <f t="shared" si="5"/>
        <v>0</v>
      </c>
      <c r="Q22" s="179">
        <f t="shared" si="5"/>
        <v>0</v>
      </c>
      <c r="R22" s="179">
        <f t="shared" si="5"/>
        <v>0</v>
      </c>
      <c r="S22" s="179">
        <f t="shared" si="5"/>
        <v>0</v>
      </c>
      <c r="T22" s="179">
        <f t="shared" si="5"/>
        <v>0</v>
      </c>
      <c r="U22" s="179">
        <f t="shared" si="5"/>
        <v>0</v>
      </c>
      <c r="V22" s="179">
        <f t="shared" si="5"/>
        <v>0</v>
      </c>
      <c r="W22" s="179">
        <f t="shared" si="6"/>
        <v>0</v>
      </c>
      <c r="X22" s="179">
        <f t="shared" si="6"/>
        <v>0</v>
      </c>
      <c r="Y22" s="179">
        <f t="shared" si="6"/>
        <v>0</v>
      </c>
      <c r="Z22" s="179">
        <f t="shared" si="6"/>
        <v>0</v>
      </c>
      <c r="AA22" s="213">
        <f t="shared" si="6"/>
        <v>0</v>
      </c>
      <c r="AB22" s="213">
        <f t="shared" si="6"/>
        <v>0</v>
      </c>
      <c r="AC22" s="214">
        <f t="shared" si="6"/>
        <v>0</v>
      </c>
      <c r="AD22" s="215">
        <f t="shared" si="38"/>
        <v>0</v>
      </c>
      <c r="AE22" s="216">
        <f t="shared" si="41"/>
        <v>0</v>
      </c>
      <c r="AF22" s="217">
        <f t="shared" si="42"/>
        <v>0</v>
      </c>
      <c r="AG22" s="218"/>
      <c r="AH22" s="219"/>
      <c r="AI22" s="220"/>
      <c r="AJ22" s="219"/>
      <c r="AK22" s="220"/>
      <c r="AL22" s="219"/>
      <c r="AM22" s="220"/>
      <c r="AN22" s="221"/>
      <c r="AO22" s="222"/>
      <c r="AP22" s="235"/>
      <c r="AQ22" s="224"/>
      <c r="AR22" s="225"/>
      <c r="AS22" s="226"/>
      <c r="AT22" s="226"/>
      <c r="AU22" s="227"/>
      <c r="AV22" s="228"/>
      <c r="AW22" s="198"/>
      <c r="AX22" s="229">
        <f t="shared" si="39"/>
        <v>0</v>
      </c>
      <c r="AY22" s="230">
        <f t="shared" si="40"/>
        <v>0</v>
      </c>
      <c r="AZ22" s="201"/>
      <c r="BA22" s="202"/>
      <c r="BB22" s="203"/>
      <c r="BC22" s="201"/>
      <c r="BD22" s="202"/>
      <c r="BE22" s="203"/>
      <c r="BF22" s="201"/>
      <c r="BG22" s="202"/>
      <c r="BH22" s="203"/>
      <c r="BI22" s="201"/>
      <c r="BJ22" s="202"/>
      <c r="BK22" s="203"/>
      <c r="BL22" s="236"/>
      <c r="BM22" s="202"/>
      <c r="BN22" s="203"/>
      <c r="BO22" s="236"/>
      <c r="BP22" s="202"/>
      <c r="BQ22" s="203"/>
      <c r="BR22" s="236"/>
      <c r="BS22" s="202"/>
      <c r="BT22" s="203"/>
      <c r="BU22" s="236"/>
      <c r="BV22" s="202"/>
      <c r="BW22" s="203"/>
      <c r="BX22" s="236"/>
      <c r="BY22" s="202"/>
      <c r="BZ22" s="203"/>
      <c r="CA22" s="236"/>
      <c r="CB22" s="202"/>
      <c r="CC22" s="203"/>
      <c r="CD22" s="142"/>
      <c r="CE22" s="115">
        <f t="shared" si="7"/>
        <v>0</v>
      </c>
      <c r="CF22" s="115">
        <f t="shared" si="8"/>
        <v>0</v>
      </c>
      <c r="CG22" s="115">
        <f t="shared" si="9"/>
        <v>0</v>
      </c>
      <c r="CH22" s="115">
        <f t="shared" si="10"/>
        <v>0</v>
      </c>
      <c r="CI22" s="115">
        <f t="shared" si="11"/>
        <v>0</v>
      </c>
      <c r="CJ22" s="115">
        <f t="shared" si="12"/>
        <v>0</v>
      </c>
      <c r="CK22" s="115">
        <f t="shared" si="13"/>
        <v>0</v>
      </c>
      <c r="CL22" s="115">
        <f t="shared" si="14"/>
        <v>0</v>
      </c>
      <c r="CM22" s="115">
        <f t="shared" si="15"/>
        <v>0</v>
      </c>
      <c r="CN22" s="115">
        <f t="shared" si="16"/>
        <v>0</v>
      </c>
      <c r="CP22" s="115">
        <f t="shared" si="17"/>
        <v>0</v>
      </c>
      <c r="CQ22" s="115">
        <f t="shared" si="18"/>
        <v>0</v>
      </c>
      <c r="CR22" s="115">
        <f t="shared" si="19"/>
        <v>0</v>
      </c>
      <c r="CS22" s="115">
        <f t="shared" si="20"/>
        <v>0</v>
      </c>
      <c r="CT22" s="115">
        <f t="shared" si="21"/>
        <v>0</v>
      </c>
      <c r="CU22" s="115">
        <f t="shared" si="22"/>
        <v>0</v>
      </c>
      <c r="CV22" s="115">
        <f t="shared" si="23"/>
        <v>0</v>
      </c>
      <c r="CW22" s="115">
        <f t="shared" si="24"/>
        <v>0</v>
      </c>
      <c r="CX22" s="115">
        <f t="shared" si="25"/>
        <v>0</v>
      </c>
      <c r="CY22" s="115">
        <f t="shared" si="26"/>
        <v>0</v>
      </c>
      <c r="DA22" s="115">
        <f t="shared" si="27"/>
        <v>0</v>
      </c>
      <c r="DB22" s="115">
        <f t="shared" si="28"/>
        <v>0</v>
      </c>
      <c r="DC22" s="115">
        <f t="shared" si="29"/>
        <v>0</v>
      </c>
      <c r="DD22" s="115">
        <f t="shared" si="30"/>
        <v>0</v>
      </c>
      <c r="DE22" s="115">
        <f t="shared" si="31"/>
        <v>0</v>
      </c>
      <c r="DF22" s="115">
        <f t="shared" si="32"/>
        <v>0</v>
      </c>
      <c r="DG22" s="115">
        <f t="shared" si="33"/>
        <v>0</v>
      </c>
      <c r="DH22" s="115">
        <f t="shared" si="34"/>
        <v>0</v>
      </c>
      <c r="DI22" s="115">
        <f t="shared" si="35"/>
        <v>0</v>
      </c>
      <c r="DJ22" s="115">
        <f t="shared" si="36"/>
        <v>0</v>
      </c>
    </row>
    <row r="23" spans="2:114">
      <c r="B23" s="167">
        <f t="shared" si="37"/>
        <v>44668</v>
      </c>
      <c r="C23" s="168">
        <f t="shared" si="0"/>
        <v>44668</v>
      </c>
      <c r="D23" s="169" t="str">
        <f t="shared" si="1"/>
        <v>日</v>
      </c>
      <c r="E23" s="170" t="str">
        <f t="shared" si="2"/>
        <v>法定</v>
      </c>
      <c r="F23" s="207">
        <f t="shared" si="3"/>
        <v>0</v>
      </c>
      <c r="G23" s="208">
        <f t="shared" si="3"/>
        <v>0</v>
      </c>
      <c r="H23" s="173"/>
      <c r="I23" s="209"/>
      <c r="J23" s="210" t="str">
        <f t="shared" si="4"/>
        <v/>
      </c>
      <c r="K23" s="211" t="str">
        <f t="shared" si="4"/>
        <v/>
      </c>
      <c r="L23" s="233" t="str">
        <f t="shared" si="4"/>
        <v/>
      </c>
      <c r="M23" s="178">
        <f t="shared" ref="M23:AB38" si="43">SUMIF($CP23:$CY23,M$6,$DA23:$DJ23)</f>
        <v>0</v>
      </c>
      <c r="N23" s="179">
        <f t="shared" si="43"/>
        <v>0</v>
      </c>
      <c r="O23" s="179">
        <f t="shared" si="43"/>
        <v>0</v>
      </c>
      <c r="P23" s="179">
        <f t="shared" si="43"/>
        <v>0</v>
      </c>
      <c r="Q23" s="179">
        <f t="shared" si="43"/>
        <v>0</v>
      </c>
      <c r="R23" s="179">
        <f t="shared" si="43"/>
        <v>0</v>
      </c>
      <c r="S23" s="179">
        <f t="shared" si="43"/>
        <v>0</v>
      </c>
      <c r="T23" s="179">
        <f t="shared" si="43"/>
        <v>0</v>
      </c>
      <c r="U23" s="179">
        <f t="shared" si="43"/>
        <v>0</v>
      </c>
      <c r="V23" s="179">
        <f t="shared" si="43"/>
        <v>0</v>
      </c>
      <c r="W23" s="179">
        <f t="shared" si="43"/>
        <v>0</v>
      </c>
      <c r="X23" s="179">
        <f t="shared" si="43"/>
        <v>0</v>
      </c>
      <c r="Y23" s="179">
        <f t="shared" si="43"/>
        <v>0</v>
      </c>
      <c r="Z23" s="179">
        <f t="shared" si="43"/>
        <v>0</v>
      </c>
      <c r="AA23" s="213">
        <f t="shared" si="43"/>
        <v>0</v>
      </c>
      <c r="AB23" s="213">
        <f t="shared" si="43"/>
        <v>0</v>
      </c>
      <c r="AC23" s="214">
        <f t="shared" ref="W23:AC38" si="44">SUMIF($CP23:$CY23,AC$6,$DA23:$DJ23)</f>
        <v>0</v>
      </c>
      <c r="AD23" s="215">
        <f t="shared" si="38"/>
        <v>0</v>
      </c>
      <c r="AE23" s="216">
        <f t="shared" si="41"/>
        <v>0</v>
      </c>
      <c r="AF23" s="217">
        <f t="shared" si="42"/>
        <v>0</v>
      </c>
      <c r="AG23" s="218"/>
      <c r="AH23" s="219"/>
      <c r="AI23" s="220"/>
      <c r="AJ23" s="219"/>
      <c r="AK23" s="220"/>
      <c r="AL23" s="219"/>
      <c r="AM23" s="220"/>
      <c r="AN23" s="221"/>
      <c r="AO23" s="234"/>
      <c r="AP23" s="235"/>
      <c r="AQ23" s="224"/>
      <c r="AR23" s="225"/>
      <c r="AS23" s="226"/>
      <c r="AT23" s="226"/>
      <c r="AU23" s="227"/>
      <c r="AV23" s="228"/>
      <c r="AW23" s="198"/>
      <c r="AX23" s="229">
        <f t="shared" si="39"/>
        <v>0</v>
      </c>
      <c r="AY23" s="230">
        <f t="shared" si="40"/>
        <v>0</v>
      </c>
      <c r="AZ23" s="201"/>
      <c r="BA23" s="202"/>
      <c r="BB23" s="203"/>
      <c r="BC23" s="201"/>
      <c r="BD23" s="202"/>
      <c r="BE23" s="203"/>
      <c r="BF23" s="201"/>
      <c r="BG23" s="202"/>
      <c r="BH23" s="203"/>
      <c r="BI23" s="201"/>
      <c r="BJ23" s="202"/>
      <c r="BK23" s="203"/>
      <c r="BL23" s="201"/>
      <c r="BM23" s="202"/>
      <c r="BN23" s="203"/>
      <c r="BO23" s="236"/>
      <c r="BP23" s="202"/>
      <c r="BQ23" s="203"/>
      <c r="BR23" s="236"/>
      <c r="BS23" s="202"/>
      <c r="BT23" s="203"/>
      <c r="BU23" s="236"/>
      <c r="BV23" s="202"/>
      <c r="BW23" s="203"/>
      <c r="BX23" s="236"/>
      <c r="BY23" s="202"/>
      <c r="BZ23" s="203"/>
      <c r="CA23" s="236"/>
      <c r="CB23" s="202"/>
      <c r="CC23" s="203"/>
      <c r="CD23" s="142"/>
      <c r="CE23" s="115">
        <f t="shared" si="7"/>
        <v>0</v>
      </c>
      <c r="CF23" s="115">
        <f t="shared" si="8"/>
        <v>0</v>
      </c>
      <c r="CG23" s="115">
        <f t="shared" si="9"/>
        <v>0</v>
      </c>
      <c r="CH23" s="115">
        <f t="shared" si="10"/>
        <v>0</v>
      </c>
      <c r="CI23" s="115">
        <f t="shared" si="11"/>
        <v>0</v>
      </c>
      <c r="CJ23" s="115">
        <f t="shared" si="12"/>
        <v>0</v>
      </c>
      <c r="CK23" s="115">
        <f t="shared" si="13"/>
        <v>0</v>
      </c>
      <c r="CL23" s="115">
        <f t="shared" si="14"/>
        <v>0</v>
      </c>
      <c r="CM23" s="115">
        <f t="shared" si="15"/>
        <v>0</v>
      </c>
      <c r="CN23" s="115">
        <f t="shared" si="16"/>
        <v>0</v>
      </c>
      <c r="CP23" s="115">
        <f t="shared" si="17"/>
        <v>0</v>
      </c>
      <c r="CQ23" s="115">
        <f t="shared" si="18"/>
        <v>0</v>
      </c>
      <c r="CR23" s="115">
        <f t="shared" si="19"/>
        <v>0</v>
      </c>
      <c r="CS23" s="115">
        <f t="shared" si="20"/>
        <v>0</v>
      </c>
      <c r="CT23" s="115">
        <f t="shared" si="21"/>
        <v>0</v>
      </c>
      <c r="CU23" s="115">
        <f t="shared" si="22"/>
        <v>0</v>
      </c>
      <c r="CV23" s="115">
        <f t="shared" si="23"/>
        <v>0</v>
      </c>
      <c r="CW23" s="115">
        <f t="shared" si="24"/>
        <v>0</v>
      </c>
      <c r="CX23" s="115">
        <f t="shared" si="25"/>
        <v>0</v>
      </c>
      <c r="CY23" s="115">
        <f t="shared" si="26"/>
        <v>0</v>
      </c>
      <c r="DA23" s="115">
        <f t="shared" si="27"/>
        <v>0</v>
      </c>
      <c r="DB23" s="115">
        <f t="shared" si="28"/>
        <v>0</v>
      </c>
      <c r="DC23" s="115">
        <f t="shared" si="29"/>
        <v>0</v>
      </c>
      <c r="DD23" s="115">
        <f t="shared" si="30"/>
        <v>0</v>
      </c>
      <c r="DE23" s="115">
        <f t="shared" si="31"/>
        <v>0</v>
      </c>
      <c r="DF23" s="115">
        <f t="shared" si="32"/>
        <v>0</v>
      </c>
      <c r="DG23" s="115">
        <f t="shared" si="33"/>
        <v>0</v>
      </c>
      <c r="DH23" s="115">
        <f t="shared" si="34"/>
        <v>0</v>
      </c>
      <c r="DI23" s="115">
        <f t="shared" si="35"/>
        <v>0</v>
      </c>
      <c r="DJ23" s="115">
        <f t="shared" si="36"/>
        <v>0</v>
      </c>
    </row>
    <row r="24" spans="2:114">
      <c r="B24" s="167">
        <f t="shared" si="37"/>
        <v>44669</v>
      </c>
      <c r="C24" s="168">
        <f t="shared" si="0"/>
        <v>44669</v>
      </c>
      <c r="D24" s="169" t="str">
        <f t="shared" si="1"/>
        <v>月</v>
      </c>
      <c r="E24" s="170" t="str">
        <f t="shared" si="2"/>
        <v/>
      </c>
      <c r="F24" s="207">
        <f t="shared" si="3"/>
        <v>0.375</v>
      </c>
      <c r="G24" s="208">
        <f t="shared" si="3"/>
        <v>0.73958333333333337</v>
      </c>
      <c r="H24" s="173"/>
      <c r="I24" s="209"/>
      <c r="J24" s="210" t="str">
        <f t="shared" si="4"/>
        <v/>
      </c>
      <c r="K24" s="211" t="str">
        <f t="shared" si="4"/>
        <v/>
      </c>
      <c r="L24" s="233" t="str">
        <f t="shared" si="4"/>
        <v/>
      </c>
      <c r="M24" s="178">
        <f t="shared" si="43"/>
        <v>0.32291666666666669</v>
      </c>
      <c r="N24" s="179">
        <f t="shared" si="43"/>
        <v>0</v>
      </c>
      <c r="O24" s="179">
        <f t="shared" si="43"/>
        <v>0</v>
      </c>
      <c r="P24" s="179">
        <f t="shared" si="43"/>
        <v>0</v>
      </c>
      <c r="Q24" s="179">
        <f t="shared" si="43"/>
        <v>0</v>
      </c>
      <c r="R24" s="179">
        <f t="shared" si="43"/>
        <v>0</v>
      </c>
      <c r="S24" s="179">
        <f t="shared" si="43"/>
        <v>0</v>
      </c>
      <c r="T24" s="179">
        <f t="shared" si="43"/>
        <v>0</v>
      </c>
      <c r="U24" s="179">
        <f t="shared" si="43"/>
        <v>0</v>
      </c>
      <c r="V24" s="179">
        <f t="shared" si="43"/>
        <v>0</v>
      </c>
      <c r="W24" s="179">
        <f t="shared" si="44"/>
        <v>0</v>
      </c>
      <c r="X24" s="179">
        <f t="shared" si="44"/>
        <v>0</v>
      </c>
      <c r="Y24" s="179">
        <f t="shared" si="44"/>
        <v>0</v>
      </c>
      <c r="Z24" s="179">
        <f t="shared" si="44"/>
        <v>0</v>
      </c>
      <c r="AA24" s="213">
        <f t="shared" si="44"/>
        <v>0</v>
      </c>
      <c r="AB24" s="213">
        <f t="shared" si="44"/>
        <v>0</v>
      </c>
      <c r="AC24" s="214">
        <f t="shared" si="44"/>
        <v>0</v>
      </c>
      <c r="AD24" s="215">
        <f t="shared" si="38"/>
        <v>0.32291666666666674</v>
      </c>
      <c r="AE24" s="216">
        <f t="shared" si="41"/>
        <v>0</v>
      </c>
      <c r="AF24" s="217">
        <f t="shared" si="42"/>
        <v>0</v>
      </c>
      <c r="AG24" s="218"/>
      <c r="AH24" s="219"/>
      <c r="AI24" s="220"/>
      <c r="AJ24" s="219"/>
      <c r="AK24" s="220"/>
      <c r="AL24" s="219"/>
      <c r="AM24" s="220"/>
      <c r="AN24" s="221"/>
      <c r="AO24" s="234" t="s">
        <v>651</v>
      </c>
      <c r="AP24" s="223"/>
      <c r="AQ24" s="224"/>
      <c r="AR24" s="225"/>
      <c r="AS24" s="226" t="s">
        <v>464</v>
      </c>
      <c r="AT24" s="226" t="s">
        <v>464</v>
      </c>
      <c r="AU24" s="227"/>
      <c r="AV24" s="228">
        <v>0.375</v>
      </c>
      <c r="AW24" s="198">
        <v>0.73958333333333337</v>
      </c>
      <c r="AX24" s="229">
        <f t="shared" si="39"/>
        <v>0.32291666666666669</v>
      </c>
      <c r="AY24" s="230">
        <f t="shared" si="40"/>
        <v>0.32291666666666669</v>
      </c>
      <c r="AZ24" s="201" t="s">
        <v>649</v>
      </c>
      <c r="BA24" s="202" t="s">
        <v>121</v>
      </c>
      <c r="BB24" s="203">
        <v>0.32291666666666669</v>
      </c>
      <c r="BC24" s="201"/>
      <c r="BD24" s="202" t="s">
        <v>464</v>
      </c>
      <c r="BE24" s="203"/>
      <c r="BF24" s="201"/>
      <c r="BG24" s="202" t="s">
        <v>464</v>
      </c>
      <c r="BH24" s="203"/>
      <c r="BI24" s="236"/>
      <c r="BJ24" s="202" t="s">
        <v>464</v>
      </c>
      <c r="BK24" s="203"/>
      <c r="BL24" s="236"/>
      <c r="BM24" s="202" t="s">
        <v>464</v>
      </c>
      <c r="BN24" s="203"/>
      <c r="BO24" s="236"/>
      <c r="BP24" s="202" t="s">
        <v>464</v>
      </c>
      <c r="BQ24" s="203"/>
      <c r="BR24" s="236"/>
      <c r="BS24" s="202" t="s">
        <v>464</v>
      </c>
      <c r="BT24" s="203"/>
      <c r="BU24" s="236"/>
      <c r="BV24" s="202" t="s">
        <v>464</v>
      </c>
      <c r="BW24" s="203"/>
      <c r="BX24" s="236"/>
      <c r="BY24" s="202" t="s">
        <v>464</v>
      </c>
      <c r="BZ24" s="203"/>
      <c r="CA24" s="236"/>
      <c r="CB24" s="202" t="s">
        <v>464</v>
      </c>
      <c r="CC24" s="203"/>
      <c r="CD24" s="142"/>
      <c r="CE24" s="115" t="str">
        <f t="shared" si="7"/>
        <v>PR-233320101</v>
      </c>
      <c r="CF24" s="115">
        <f t="shared" si="8"/>
        <v>0</v>
      </c>
      <c r="CG24" s="115">
        <f t="shared" si="9"/>
        <v>0</v>
      </c>
      <c r="CH24" s="115">
        <f t="shared" si="10"/>
        <v>0</v>
      </c>
      <c r="CI24" s="115">
        <f t="shared" si="11"/>
        <v>0</v>
      </c>
      <c r="CJ24" s="115">
        <f t="shared" si="12"/>
        <v>0</v>
      </c>
      <c r="CK24" s="115">
        <f t="shared" si="13"/>
        <v>0</v>
      </c>
      <c r="CL24" s="115">
        <f t="shared" si="14"/>
        <v>0</v>
      </c>
      <c r="CM24" s="115">
        <f t="shared" si="15"/>
        <v>0</v>
      </c>
      <c r="CN24" s="115">
        <f t="shared" si="16"/>
        <v>0</v>
      </c>
      <c r="CP24" s="115" t="str">
        <f t="shared" si="17"/>
        <v>1.00</v>
      </c>
      <c r="CQ24" s="115" t="str">
        <f t="shared" si="18"/>
        <v/>
      </c>
      <c r="CR24" s="115" t="str">
        <f t="shared" si="19"/>
        <v/>
      </c>
      <c r="CS24" s="115" t="str">
        <f t="shared" si="20"/>
        <v/>
      </c>
      <c r="CT24" s="115" t="str">
        <f t="shared" si="21"/>
        <v/>
      </c>
      <c r="CU24" s="115" t="str">
        <f t="shared" si="22"/>
        <v/>
      </c>
      <c r="CV24" s="115" t="str">
        <f t="shared" si="23"/>
        <v/>
      </c>
      <c r="CW24" s="115" t="str">
        <f t="shared" si="24"/>
        <v/>
      </c>
      <c r="CX24" s="115" t="str">
        <f t="shared" si="25"/>
        <v/>
      </c>
      <c r="CY24" s="115" t="str">
        <f t="shared" si="26"/>
        <v/>
      </c>
      <c r="DA24" s="115">
        <f t="shared" si="27"/>
        <v>0.32291666666666669</v>
      </c>
      <c r="DB24" s="115">
        <f t="shared" si="28"/>
        <v>0</v>
      </c>
      <c r="DC24" s="115">
        <f t="shared" si="29"/>
        <v>0</v>
      </c>
      <c r="DD24" s="115">
        <f t="shared" si="30"/>
        <v>0</v>
      </c>
      <c r="DE24" s="115">
        <f t="shared" si="31"/>
        <v>0</v>
      </c>
      <c r="DF24" s="115">
        <f t="shared" si="32"/>
        <v>0</v>
      </c>
      <c r="DG24" s="115">
        <f t="shared" si="33"/>
        <v>0</v>
      </c>
      <c r="DH24" s="115">
        <f t="shared" si="34"/>
        <v>0</v>
      </c>
      <c r="DI24" s="115">
        <f t="shared" si="35"/>
        <v>0</v>
      </c>
      <c r="DJ24" s="115">
        <f t="shared" si="36"/>
        <v>0</v>
      </c>
    </row>
    <row r="25" spans="2:114">
      <c r="B25" s="167">
        <f t="shared" si="37"/>
        <v>44670</v>
      </c>
      <c r="C25" s="168">
        <f t="shared" si="0"/>
        <v>44670</v>
      </c>
      <c r="D25" s="169" t="str">
        <f t="shared" si="1"/>
        <v>火</v>
      </c>
      <c r="E25" s="170" t="str">
        <f t="shared" si="2"/>
        <v/>
      </c>
      <c r="F25" s="207">
        <f t="shared" si="3"/>
        <v>0.33333333333333331</v>
      </c>
      <c r="G25" s="208">
        <f t="shared" si="3"/>
        <v>0.70833333333333337</v>
      </c>
      <c r="H25" s="173"/>
      <c r="I25" s="209"/>
      <c r="J25" s="210" t="str">
        <f t="shared" si="4"/>
        <v/>
      </c>
      <c r="K25" s="211" t="str">
        <f t="shared" si="4"/>
        <v/>
      </c>
      <c r="L25" s="233" t="str">
        <f t="shared" si="4"/>
        <v/>
      </c>
      <c r="M25" s="178">
        <f t="shared" si="43"/>
        <v>0.33333333333333331</v>
      </c>
      <c r="N25" s="179">
        <f t="shared" si="43"/>
        <v>0</v>
      </c>
      <c r="O25" s="179">
        <f t="shared" si="43"/>
        <v>0</v>
      </c>
      <c r="P25" s="179">
        <f t="shared" si="43"/>
        <v>0</v>
      </c>
      <c r="Q25" s="179">
        <f t="shared" si="43"/>
        <v>0</v>
      </c>
      <c r="R25" s="179">
        <f t="shared" si="43"/>
        <v>0</v>
      </c>
      <c r="S25" s="179">
        <f t="shared" si="43"/>
        <v>0</v>
      </c>
      <c r="T25" s="179">
        <f t="shared" si="43"/>
        <v>0</v>
      </c>
      <c r="U25" s="179">
        <f t="shared" si="43"/>
        <v>0</v>
      </c>
      <c r="V25" s="179">
        <f t="shared" si="43"/>
        <v>0</v>
      </c>
      <c r="W25" s="179">
        <f t="shared" si="44"/>
        <v>0</v>
      </c>
      <c r="X25" s="179">
        <f t="shared" si="44"/>
        <v>0</v>
      </c>
      <c r="Y25" s="179">
        <f t="shared" si="44"/>
        <v>0</v>
      </c>
      <c r="Z25" s="179">
        <f t="shared" si="44"/>
        <v>0</v>
      </c>
      <c r="AA25" s="213">
        <f t="shared" si="44"/>
        <v>0</v>
      </c>
      <c r="AB25" s="213">
        <f t="shared" si="44"/>
        <v>0</v>
      </c>
      <c r="AC25" s="214">
        <f t="shared" si="44"/>
        <v>0</v>
      </c>
      <c r="AD25" s="215">
        <f t="shared" si="38"/>
        <v>0.33333333333333326</v>
      </c>
      <c r="AE25" s="216">
        <f t="shared" si="41"/>
        <v>0</v>
      </c>
      <c r="AF25" s="217">
        <f t="shared" si="42"/>
        <v>0</v>
      </c>
      <c r="AG25" s="218"/>
      <c r="AH25" s="219"/>
      <c r="AI25" s="220"/>
      <c r="AJ25" s="219"/>
      <c r="AK25" s="220"/>
      <c r="AL25" s="219"/>
      <c r="AM25" s="220"/>
      <c r="AN25" s="221"/>
      <c r="AO25" s="222" t="s">
        <v>651</v>
      </c>
      <c r="AP25" s="223"/>
      <c r="AQ25" s="224"/>
      <c r="AR25" s="225"/>
      <c r="AS25" s="226" t="s">
        <v>464</v>
      </c>
      <c r="AT25" s="226" t="s">
        <v>464</v>
      </c>
      <c r="AU25" s="227"/>
      <c r="AV25" s="228">
        <v>0.33333333333333331</v>
      </c>
      <c r="AW25" s="198">
        <v>0.70833333333333337</v>
      </c>
      <c r="AX25" s="229">
        <f t="shared" si="39"/>
        <v>0.33333333333333337</v>
      </c>
      <c r="AY25" s="230">
        <f t="shared" si="40"/>
        <v>0.33333333333333331</v>
      </c>
      <c r="AZ25" s="201" t="s">
        <v>649</v>
      </c>
      <c r="BA25" s="202" t="s">
        <v>121</v>
      </c>
      <c r="BB25" s="203">
        <v>0.33333333333333331</v>
      </c>
      <c r="BC25" s="201"/>
      <c r="BD25" s="202" t="s">
        <v>464</v>
      </c>
      <c r="BE25" s="203"/>
      <c r="BF25" s="236"/>
      <c r="BG25" s="202" t="s">
        <v>464</v>
      </c>
      <c r="BH25" s="203"/>
      <c r="BI25" s="236"/>
      <c r="BJ25" s="202" t="s">
        <v>464</v>
      </c>
      <c r="BK25" s="203"/>
      <c r="BL25" s="201"/>
      <c r="BM25" s="202" t="s">
        <v>464</v>
      </c>
      <c r="BN25" s="203"/>
      <c r="BO25" s="236"/>
      <c r="BP25" s="202" t="s">
        <v>464</v>
      </c>
      <c r="BQ25" s="203"/>
      <c r="BR25" s="236"/>
      <c r="BS25" s="202" t="s">
        <v>464</v>
      </c>
      <c r="BT25" s="203"/>
      <c r="BU25" s="236"/>
      <c r="BV25" s="202" t="s">
        <v>464</v>
      </c>
      <c r="BW25" s="203"/>
      <c r="BX25" s="236"/>
      <c r="BY25" s="202" t="s">
        <v>464</v>
      </c>
      <c r="BZ25" s="203"/>
      <c r="CA25" s="236"/>
      <c r="CB25" s="202" t="s">
        <v>464</v>
      </c>
      <c r="CC25" s="203"/>
      <c r="CD25" s="142"/>
      <c r="CE25" s="115" t="str">
        <f t="shared" si="7"/>
        <v>PR-233320101</v>
      </c>
      <c r="CF25" s="115">
        <f t="shared" si="8"/>
        <v>0</v>
      </c>
      <c r="CG25" s="115">
        <f t="shared" si="9"/>
        <v>0</v>
      </c>
      <c r="CH25" s="115">
        <f t="shared" si="10"/>
        <v>0</v>
      </c>
      <c r="CI25" s="115">
        <f t="shared" si="11"/>
        <v>0</v>
      </c>
      <c r="CJ25" s="115">
        <f t="shared" si="12"/>
        <v>0</v>
      </c>
      <c r="CK25" s="115">
        <f t="shared" si="13"/>
        <v>0</v>
      </c>
      <c r="CL25" s="115">
        <f t="shared" si="14"/>
        <v>0</v>
      </c>
      <c r="CM25" s="115">
        <f t="shared" si="15"/>
        <v>0</v>
      </c>
      <c r="CN25" s="115">
        <f t="shared" si="16"/>
        <v>0</v>
      </c>
      <c r="CP25" s="115" t="str">
        <f t="shared" si="17"/>
        <v>1.00</v>
      </c>
      <c r="CQ25" s="115" t="str">
        <f t="shared" si="18"/>
        <v/>
      </c>
      <c r="CR25" s="115" t="str">
        <f t="shared" si="19"/>
        <v/>
      </c>
      <c r="CS25" s="115" t="str">
        <f t="shared" si="20"/>
        <v/>
      </c>
      <c r="CT25" s="115" t="str">
        <f t="shared" si="21"/>
        <v/>
      </c>
      <c r="CU25" s="115" t="str">
        <f t="shared" si="22"/>
        <v/>
      </c>
      <c r="CV25" s="115" t="str">
        <f t="shared" si="23"/>
        <v/>
      </c>
      <c r="CW25" s="115" t="str">
        <f t="shared" si="24"/>
        <v/>
      </c>
      <c r="CX25" s="115" t="str">
        <f t="shared" si="25"/>
        <v/>
      </c>
      <c r="CY25" s="115" t="str">
        <f t="shared" si="26"/>
        <v/>
      </c>
      <c r="DA25" s="115">
        <f t="shared" si="27"/>
        <v>0.33333333333333331</v>
      </c>
      <c r="DB25" s="115">
        <f t="shared" si="28"/>
        <v>0</v>
      </c>
      <c r="DC25" s="115">
        <f t="shared" si="29"/>
        <v>0</v>
      </c>
      <c r="DD25" s="115">
        <f t="shared" si="30"/>
        <v>0</v>
      </c>
      <c r="DE25" s="115">
        <f t="shared" si="31"/>
        <v>0</v>
      </c>
      <c r="DF25" s="115">
        <f t="shared" si="32"/>
        <v>0</v>
      </c>
      <c r="DG25" s="115">
        <f t="shared" si="33"/>
        <v>0</v>
      </c>
      <c r="DH25" s="115">
        <f t="shared" si="34"/>
        <v>0</v>
      </c>
      <c r="DI25" s="115">
        <f t="shared" si="35"/>
        <v>0</v>
      </c>
      <c r="DJ25" s="115">
        <f t="shared" si="36"/>
        <v>0</v>
      </c>
    </row>
    <row r="26" spans="2:114">
      <c r="B26" s="167">
        <f t="shared" si="37"/>
        <v>44671</v>
      </c>
      <c r="C26" s="168">
        <f t="shared" si="0"/>
        <v>44671</v>
      </c>
      <c r="D26" s="169" t="str">
        <f t="shared" si="1"/>
        <v>水</v>
      </c>
      <c r="E26" s="170" t="str">
        <f t="shared" si="2"/>
        <v/>
      </c>
      <c r="F26" s="207">
        <f t="shared" si="3"/>
        <v>0.375</v>
      </c>
      <c r="G26" s="208">
        <f t="shared" si="3"/>
        <v>0.73958333333333337</v>
      </c>
      <c r="H26" s="173"/>
      <c r="I26" s="209"/>
      <c r="J26" s="210" t="str">
        <f t="shared" si="4"/>
        <v/>
      </c>
      <c r="K26" s="211" t="str">
        <f t="shared" si="4"/>
        <v/>
      </c>
      <c r="L26" s="233" t="str">
        <f t="shared" si="4"/>
        <v/>
      </c>
      <c r="M26" s="178">
        <f t="shared" si="43"/>
        <v>0.32291666666666669</v>
      </c>
      <c r="N26" s="179">
        <f t="shared" si="43"/>
        <v>0</v>
      </c>
      <c r="O26" s="179">
        <f t="shared" si="43"/>
        <v>0</v>
      </c>
      <c r="P26" s="179">
        <f t="shared" si="43"/>
        <v>0</v>
      </c>
      <c r="Q26" s="179">
        <f t="shared" si="43"/>
        <v>0</v>
      </c>
      <c r="R26" s="179">
        <f t="shared" si="43"/>
        <v>0</v>
      </c>
      <c r="S26" s="179">
        <f t="shared" si="43"/>
        <v>0</v>
      </c>
      <c r="T26" s="179">
        <f t="shared" si="43"/>
        <v>0</v>
      </c>
      <c r="U26" s="179">
        <f t="shared" si="43"/>
        <v>0</v>
      </c>
      <c r="V26" s="179">
        <f t="shared" si="43"/>
        <v>0</v>
      </c>
      <c r="W26" s="179">
        <f t="shared" si="44"/>
        <v>0</v>
      </c>
      <c r="X26" s="179">
        <f t="shared" si="44"/>
        <v>0</v>
      </c>
      <c r="Y26" s="179">
        <f t="shared" si="44"/>
        <v>0</v>
      </c>
      <c r="Z26" s="179">
        <f t="shared" si="44"/>
        <v>0</v>
      </c>
      <c r="AA26" s="213">
        <f t="shared" si="44"/>
        <v>0</v>
      </c>
      <c r="AB26" s="213">
        <f t="shared" si="44"/>
        <v>0</v>
      </c>
      <c r="AC26" s="214">
        <f t="shared" si="44"/>
        <v>0</v>
      </c>
      <c r="AD26" s="215">
        <f t="shared" si="38"/>
        <v>0.32291666666666674</v>
      </c>
      <c r="AE26" s="216">
        <f t="shared" si="41"/>
        <v>0</v>
      </c>
      <c r="AF26" s="217">
        <f t="shared" si="42"/>
        <v>0</v>
      </c>
      <c r="AG26" s="218"/>
      <c r="AH26" s="219"/>
      <c r="AI26" s="220"/>
      <c r="AJ26" s="219"/>
      <c r="AK26" s="220"/>
      <c r="AL26" s="219"/>
      <c r="AM26" s="220"/>
      <c r="AN26" s="221"/>
      <c r="AO26" s="234" t="s">
        <v>658</v>
      </c>
      <c r="AP26" s="235"/>
      <c r="AQ26" s="224"/>
      <c r="AR26" s="225"/>
      <c r="AS26" s="226" t="s">
        <v>464</v>
      </c>
      <c r="AT26" s="226" t="s">
        <v>464</v>
      </c>
      <c r="AU26" s="227"/>
      <c r="AV26" s="228">
        <v>0.375</v>
      </c>
      <c r="AW26" s="198">
        <v>0.73958333333333337</v>
      </c>
      <c r="AX26" s="229">
        <f t="shared" si="39"/>
        <v>0.32291666666666669</v>
      </c>
      <c r="AY26" s="230">
        <f t="shared" si="40"/>
        <v>0.32291666666666669</v>
      </c>
      <c r="AZ26" s="201" t="s">
        <v>649</v>
      </c>
      <c r="BA26" s="202" t="s">
        <v>121</v>
      </c>
      <c r="BB26" s="203">
        <v>0.32291666666666669</v>
      </c>
      <c r="BC26" s="201"/>
      <c r="BD26" s="202" t="s">
        <v>464</v>
      </c>
      <c r="BE26" s="203"/>
      <c r="BF26" s="201"/>
      <c r="BG26" s="202" t="s">
        <v>464</v>
      </c>
      <c r="BH26" s="203"/>
      <c r="BI26" s="201"/>
      <c r="BJ26" s="202" t="s">
        <v>464</v>
      </c>
      <c r="BK26" s="203"/>
      <c r="BL26" s="201"/>
      <c r="BM26" s="202" t="s">
        <v>464</v>
      </c>
      <c r="BN26" s="203"/>
      <c r="BO26" s="236"/>
      <c r="BP26" s="202" t="s">
        <v>464</v>
      </c>
      <c r="BQ26" s="203"/>
      <c r="BR26" s="236"/>
      <c r="BS26" s="202" t="s">
        <v>464</v>
      </c>
      <c r="BT26" s="203"/>
      <c r="BU26" s="236"/>
      <c r="BV26" s="202" t="s">
        <v>464</v>
      </c>
      <c r="BW26" s="203"/>
      <c r="BX26" s="236"/>
      <c r="BY26" s="202" t="s">
        <v>464</v>
      </c>
      <c r="BZ26" s="203"/>
      <c r="CA26" s="236"/>
      <c r="CB26" s="202" t="s">
        <v>464</v>
      </c>
      <c r="CC26" s="203"/>
      <c r="CD26" s="142"/>
      <c r="CE26" s="115" t="str">
        <f t="shared" si="7"/>
        <v>PR-233320101</v>
      </c>
      <c r="CF26" s="115">
        <f t="shared" si="8"/>
        <v>0</v>
      </c>
      <c r="CG26" s="115">
        <f t="shared" si="9"/>
        <v>0</v>
      </c>
      <c r="CH26" s="115">
        <f t="shared" si="10"/>
        <v>0</v>
      </c>
      <c r="CI26" s="115">
        <f t="shared" si="11"/>
        <v>0</v>
      </c>
      <c r="CJ26" s="115">
        <f t="shared" si="12"/>
        <v>0</v>
      </c>
      <c r="CK26" s="115">
        <f t="shared" si="13"/>
        <v>0</v>
      </c>
      <c r="CL26" s="115">
        <f t="shared" si="14"/>
        <v>0</v>
      </c>
      <c r="CM26" s="115">
        <f t="shared" si="15"/>
        <v>0</v>
      </c>
      <c r="CN26" s="115">
        <f t="shared" si="16"/>
        <v>0</v>
      </c>
      <c r="CP26" s="115" t="str">
        <f t="shared" si="17"/>
        <v>1.00</v>
      </c>
      <c r="CQ26" s="115" t="str">
        <f t="shared" si="18"/>
        <v/>
      </c>
      <c r="CR26" s="115" t="str">
        <f t="shared" si="19"/>
        <v/>
      </c>
      <c r="CS26" s="115" t="str">
        <f t="shared" si="20"/>
        <v/>
      </c>
      <c r="CT26" s="115" t="str">
        <f t="shared" si="21"/>
        <v/>
      </c>
      <c r="CU26" s="115" t="str">
        <f t="shared" si="22"/>
        <v/>
      </c>
      <c r="CV26" s="115" t="str">
        <f t="shared" si="23"/>
        <v/>
      </c>
      <c r="CW26" s="115" t="str">
        <f t="shared" si="24"/>
        <v/>
      </c>
      <c r="CX26" s="115" t="str">
        <f t="shared" si="25"/>
        <v/>
      </c>
      <c r="CY26" s="115" t="str">
        <f t="shared" si="26"/>
        <v/>
      </c>
      <c r="DA26" s="115">
        <f t="shared" si="27"/>
        <v>0.32291666666666669</v>
      </c>
      <c r="DB26" s="115">
        <f t="shared" si="28"/>
        <v>0</v>
      </c>
      <c r="DC26" s="115">
        <f t="shared" si="29"/>
        <v>0</v>
      </c>
      <c r="DD26" s="115">
        <f t="shared" si="30"/>
        <v>0</v>
      </c>
      <c r="DE26" s="115">
        <f t="shared" si="31"/>
        <v>0</v>
      </c>
      <c r="DF26" s="115">
        <f t="shared" si="32"/>
        <v>0</v>
      </c>
      <c r="DG26" s="115">
        <f t="shared" si="33"/>
        <v>0</v>
      </c>
      <c r="DH26" s="115">
        <f t="shared" si="34"/>
        <v>0</v>
      </c>
      <c r="DI26" s="115">
        <f t="shared" si="35"/>
        <v>0</v>
      </c>
      <c r="DJ26" s="115">
        <f t="shared" si="36"/>
        <v>0</v>
      </c>
    </row>
    <row r="27" spans="2:114">
      <c r="B27" s="167">
        <f t="shared" si="37"/>
        <v>44672</v>
      </c>
      <c r="C27" s="168">
        <f t="shared" si="0"/>
        <v>44672</v>
      </c>
      <c r="D27" s="169" t="str">
        <f t="shared" si="1"/>
        <v>木</v>
      </c>
      <c r="E27" s="170" t="str">
        <f t="shared" si="2"/>
        <v/>
      </c>
      <c r="F27" s="207">
        <f t="shared" si="3"/>
        <v>0.33333333333333331</v>
      </c>
      <c r="G27" s="208">
        <f t="shared" si="3"/>
        <v>0.70833333333333337</v>
      </c>
      <c r="H27" s="173"/>
      <c r="I27" s="209"/>
      <c r="J27" s="210" t="str">
        <f t="shared" si="4"/>
        <v/>
      </c>
      <c r="K27" s="211" t="str">
        <f t="shared" si="4"/>
        <v/>
      </c>
      <c r="L27" s="233" t="str">
        <f t="shared" si="4"/>
        <v/>
      </c>
      <c r="M27" s="178">
        <f t="shared" si="43"/>
        <v>0.33333333333333331</v>
      </c>
      <c r="N27" s="179">
        <f t="shared" si="43"/>
        <v>0</v>
      </c>
      <c r="O27" s="179">
        <f t="shared" si="43"/>
        <v>0</v>
      </c>
      <c r="P27" s="179">
        <f t="shared" si="43"/>
        <v>0</v>
      </c>
      <c r="Q27" s="179">
        <f t="shared" si="43"/>
        <v>0</v>
      </c>
      <c r="R27" s="179">
        <f t="shared" si="43"/>
        <v>0</v>
      </c>
      <c r="S27" s="179">
        <f t="shared" si="43"/>
        <v>0</v>
      </c>
      <c r="T27" s="179">
        <f t="shared" si="43"/>
        <v>0</v>
      </c>
      <c r="U27" s="179">
        <f t="shared" si="43"/>
        <v>0</v>
      </c>
      <c r="V27" s="179">
        <f t="shared" si="43"/>
        <v>0</v>
      </c>
      <c r="W27" s="179">
        <f t="shared" si="44"/>
        <v>0</v>
      </c>
      <c r="X27" s="179">
        <f t="shared" si="44"/>
        <v>0</v>
      </c>
      <c r="Y27" s="179">
        <f t="shared" si="44"/>
        <v>0</v>
      </c>
      <c r="Z27" s="179">
        <f t="shared" si="44"/>
        <v>0</v>
      </c>
      <c r="AA27" s="213">
        <f t="shared" si="44"/>
        <v>0</v>
      </c>
      <c r="AB27" s="213">
        <f t="shared" si="44"/>
        <v>0</v>
      </c>
      <c r="AC27" s="214">
        <f t="shared" si="44"/>
        <v>0</v>
      </c>
      <c r="AD27" s="215">
        <f t="shared" si="38"/>
        <v>0.33333333333333326</v>
      </c>
      <c r="AE27" s="216">
        <f t="shared" si="41"/>
        <v>0</v>
      </c>
      <c r="AF27" s="217">
        <f t="shared" si="42"/>
        <v>0</v>
      </c>
      <c r="AG27" s="218"/>
      <c r="AH27" s="219"/>
      <c r="AI27" s="220"/>
      <c r="AJ27" s="219"/>
      <c r="AK27" s="220"/>
      <c r="AL27" s="219"/>
      <c r="AM27" s="220"/>
      <c r="AN27" s="221"/>
      <c r="AO27" s="234" t="s">
        <v>651</v>
      </c>
      <c r="AP27" s="235"/>
      <c r="AQ27" s="224"/>
      <c r="AR27" s="225"/>
      <c r="AS27" s="226" t="s">
        <v>464</v>
      </c>
      <c r="AT27" s="226" t="s">
        <v>464</v>
      </c>
      <c r="AU27" s="227"/>
      <c r="AV27" s="228">
        <v>0.33333333333333331</v>
      </c>
      <c r="AW27" s="198">
        <v>0.70833333333333337</v>
      </c>
      <c r="AX27" s="229">
        <f t="shared" si="39"/>
        <v>0.33333333333333337</v>
      </c>
      <c r="AY27" s="230">
        <f t="shared" si="40"/>
        <v>0.33333333333333331</v>
      </c>
      <c r="AZ27" s="201" t="s">
        <v>649</v>
      </c>
      <c r="BA27" s="202" t="s">
        <v>121</v>
      </c>
      <c r="BB27" s="203">
        <v>0.33333333333333331</v>
      </c>
      <c r="BC27" s="201"/>
      <c r="BD27" s="202" t="s">
        <v>464</v>
      </c>
      <c r="BE27" s="203"/>
      <c r="BF27" s="236"/>
      <c r="BG27" s="202" t="s">
        <v>464</v>
      </c>
      <c r="BH27" s="203"/>
      <c r="BI27" s="236"/>
      <c r="BJ27" s="202" t="s">
        <v>464</v>
      </c>
      <c r="BK27" s="203"/>
      <c r="BL27" s="236"/>
      <c r="BM27" s="202" t="s">
        <v>464</v>
      </c>
      <c r="BN27" s="203"/>
      <c r="BO27" s="236"/>
      <c r="BP27" s="202" t="s">
        <v>464</v>
      </c>
      <c r="BQ27" s="203"/>
      <c r="BR27" s="236"/>
      <c r="BS27" s="202" t="s">
        <v>464</v>
      </c>
      <c r="BT27" s="203"/>
      <c r="BU27" s="236"/>
      <c r="BV27" s="202" t="s">
        <v>464</v>
      </c>
      <c r="BW27" s="203"/>
      <c r="BX27" s="236"/>
      <c r="BY27" s="202" t="s">
        <v>464</v>
      </c>
      <c r="BZ27" s="203"/>
      <c r="CA27" s="236"/>
      <c r="CB27" s="202" t="s">
        <v>464</v>
      </c>
      <c r="CC27" s="203"/>
      <c r="CD27" s="142"/>
      <c r="CE27" s="115" t="str">
        <f t="shared" si="7"/>
        <v>PR-233320101</v>
      </c>
      <c r="CF27" s="115">
        <f t="shared" si="8"/>
        <v>0</v>
      </c>
      <c r="CG27" s="115">
        <f t="shared" si="9"/>
        <v>0</v>
      </c>
      <c r="CH27" s="115">
        <f t="shared" si="10"/>
        <v>0</v>
      </c>
      <c r="CI27" s="115">
        <f t="shared" si="11"/>
        <v>0</v>
      </c>
      <c r="CJ27" s="115">
        <f t="shared" si="12"/>
        <v>0</v>
      </c>
      <c r="CK27" s="115">
        <f t="shared" si="13"/>
        <v>0</v>
      </c>
      <c r="CL27" s="115">
        <f t="shared" si="14"/>
        <v>0</v>
      </c>
      <c r="CM27" s="115">
        <f t="shared" si="15"/>
        <v>0</v>
      </c>
      <c r="CN27" s="115">
        <f t="shared" si="16"/>
        <v>0</v>
      </c>
      <c r="CP27" s="115" t="str">
        <f t="shared" si="17"/>
        <v>1.00</v>
      </c>
      <c r="CQ27" s="115" t="str">
        <f t="shared" si="18"/>
        <v/>
      </c>
      <c r="CR27" s="115" t="str">
        <f t="shared" si="19"/>
        <v/>
      </c>
      <c r="CS27" s="115" t="str">
        <f t="shared" si="20"/>
        <v/>
      </c>
      <c r="CT27" s="115" t="str">
        <f t="shared" si="21"/>
        <v/>
      </c>
      <c r="CU27" s="115" t="str">
        <f t="shared" si="22"/>
        <v/>
      </c>
      <c r="CV27" s="115" t="str">
        <f t="shared" si="23"/>
        <v/>
      </c>
      <c r="CW27" s="115" t="str">
        <f t="shared" si="24"/>
        <v/>
      </c>
      <c r="CX27" s="115" t="str">
        <f t="shared" si="25"/>
        <v/>
      </c>
      <c r="CY27" s="115" t="str">
        <f t="shared" si="26"/>
        <v/>
      </c>
      <c r="DA27" s="115">
        <f t="shared" si="27"/>
        <v>0.33333333333333331</v>
      </c>
      <c r="DB27" s="115">
        <f t="shared" si="28"/>
        <v>0</v>
      </c>
      <c r="DC27" s="115">
        <f t="shared" si="29"/>
        <v>0</v>
      </c>
      <c r="DD27" s="115">
        <f t="shared" si="30"/>
        <v>0</v>
      </c>
      <c r="DE27" s="115">
        <f t="shared" si="31"/>
        <v>0</v>
      </c>
      <c r="DF27" s="115">
        <f t="shared" si="32"/>
        <v>0</v>
      </c>
      <c r="DG27" s="115">
        <f t="shared" si="33"/>
        <v>0</v>
      </c>
      <c r="DH27" s="115">
        <f t="shared" si="34"/>
        <v>0</v>
      </c>
      <c r="DI27" s="115">
        <f t="shared" si="35"/>
        <v>0</v>
      </c>
      <c r="DJ27" s="115">
        <f t="shared" si="36"/>
        <v>0</v>
      </c>
    </row>
    <row r="28" spans="2:114">
      <c r="B28" s="167">
        <f t="shared" si="37"/>
        <v>44673</v>
      </c>
      <c r="C28" s="168">
        <f t="shared" si="0"/>
        <v>44673</v>
      </c>
      <c r="D28" s="169" t="str">
        <f t="shared" si="1"/>
        <v>金</v>
      </c>
      <c r="E28" s="170" t="str">
        <f t="shared" si="2"/>
        <v/>
      </c>
      <c r="F28" s="207">
        <f t="shared" si="3"/>
        <v>0.375</v>
      </c>
      <c r="G28" s="208">
        <f t="shared" si="3"/>
        <v>0.73958333333333337</v>
      </c>
      <c r="H28" s="173"/>
      <c r="I28" s="209"/>
      <c r="J28" s="210" t="str">
        <f t="shared" si="4"/>
        <v/>
      </c>
      <c r="K28" s="211" t="str">
        <f t="shared" si="4"/>
        <v/>
      </c>
      <c r="L28" s="233" t="str">
        <f t="shared" si="4"/>
        <v/>
      </c>
      <c r="M28" s="178">
        <f t="shared" si="43"/>
        <v>0.32291666666666669</v>
      </c>
      <c r="N28" s="179">
        <f t="shared" si="43"/>
        <v>0</v>
      </c>
      <c r="O28" s="179">
        <f t="shared" si="43"/>
        <v>0</v>
      </c>
      <c r="P28" s="179">
        <f t="shared" si="43"/>
        <v>0</v>
      </c>
      <c r="Q28" s="179">
        <f t="shared" si="43"/>
        <v>0</v>
      </c>
      <c r="R28" s="179">
        <f t="shared" si="43"/>
        <v>0</v>
      </c>
      <c r="S28" s="179">
        <f t="shared" si="43"/>
        <v>0</v>
      </c>
      <c r="T28" s="179">
        <f t="shared" si="43"/>
        <v>0</v>
      </c>
      <c r="U28" s="179">
        <f t="shared" si="43"/>
        <v>0</v>
      </c>
      <c r="V28" s="179">
        <f t="shared" si="43"/>
        <v>0</v>
      </c>
      <c r="W28" s="179">
        <f t="shared" si="44"/>
        <v>0</v>
      </c>
      <c r="X28" s="179">
        <f t="shared" si="44"/>
        <v>0</v>
      </c>
      <c r="Y28" s="179">
        <f t="shared" si="44"/>
        <v>0</v>
      </c>
      <c r="Z28" s="179">
        <f t="shared" si="44"/>
        <v>0</v>
      </c>
      <c r="AA28" s="213">
        <f t="shared" si="44"/>
        <v>0</v>
      </c>
      <c r="AB28" s="213">
        <f t="shared" si="44"/>
        <v>0</v>
      </c>
      <c r="AC28" s="214">
        <f t="shared" si="44"/>
        <v>0</v>
      </c>
      <c r="AD28" s="215">
        <f t="shared" si="38"/>
        <v>0.32291666666666674</v>
      </c>
      <c r="AE28" s="216">
        <f t="shared" si="41"/>
        <v>0</v>
      </c>
      <c r="AF28" s="217">
        <f t="shared" si="42"/>
        <v>0</v>
      </c>
      <c r="AG28" s="218"/>
      <c r="AH28" s="219"/>
      <c r="AI28" s="220"/>
      <c r="AJ28" s="219"/>
      <c r="AK28" s="220"/>
      <c r="AL28" s="219"/>
      <c r="AM28" s="220"/>
      <c r="AN28" s="221"/>
      <c r="AO28" s="234" t="s">
        <v>651</v>
      </c>
      <c r="AP28" s="235"/>
      <c r="AQ28" s="224"/>
      <c r="AR28" s="225"/>
      <c r="AS28" s="226" t="s">
        <v>464</v>
      </c>
      <c r="AT28" s="226" t="s">
        <v>464</v>
      </c>
      <c r="AU28" s="227"/>
      <c r="AV28" s="228">
        <v>0.375</v>
      </c>
      <c r="AW28" s="198">
        <v>0.73958333333333337</v>
      </c>
      <c r="AX28" s="229">
        <f t="shared" si="39"/>
        <v>0.32291666666666669</v>
      </c>
      <c r="AY28" s="230">
        <f t="shared" si="40"/>
        <v>0.32291666666666669</v>
      </c>
      <c r="AZ28" s="201" t="s">
        <v>649</v>
      </c>
      <c r="BA28" s="202" t="s">
        <v>121</v>
      </c>
      <c r="BB28" s="203">
        <v>0.32291666666666669</v>
      </c>
      <c r="BC28" s="201"/>
      <c r="BD28" s="202" t="s">
        <v>464</v>
      </c>
      <c r="BE28" s="203"/>
      <c r="BF28" s="236"/>
      <c r="BG28" s="202" t="s">
        <v>464</v>
      </c>
      <c r="BH28" s="203"/>
      <c r="BI28" s="236"/>
      <c r="BJ28" s="202" t="s">
        <v>464</v>
      </c>
      <c r="BK28" s="203"/>
      <c r="BL28" s="236"/>
      <c r="BM28" s="202" t="s">
        <v>464</v>
      </c>
      <c r="BN28" s="203"/>
      <c r="BO28" s="236"/>
      <c r="BP28" s="202" t="s">
        <v>464</v>
      </c>
      <c r="BQ28" s="203"/>
      <c r="BR28" s="236"/>
      <c r="BS28" s="202" t="s">
        <v>464</v>
      </c>
      <c r="BT28" s="203"/>
      <c r="BU28" s="236"/>
      <c r="BV28" s="202" t="s">
        <v>464</v>
      </c>
      <c r="BW28" s="203"/>
      <c r="BX28" s="236"/>
      <c r="BY28" s="202" t="s">
        <v>464</v>
      </c>
      <c r="BZ28" s="203"/>
      <c r="CA28" s="236"/>
      <c r="CB28" s="202" t="s">
        <v>464</v>
      </c>
      <c r="CC28" s="203"/>
      <c r="CD28" s="142"/>
      <c r="CE28" s="115" t="str">
        <f t="shared" si="7"/>
        <v>PR-233320101</v>
      </c>
      <c r="CF28" s="115">
        <f t="shared" si="8"/>
        <v>0</v>
      </c>
      <c r="CG28" s="115">
        <f t="shared" si="9"/>
        <v>0</v>
      </c>
      <c r="CH28" s="115">
        <f t="shared" si="10"/>
        <v>0</v>
      </c>
      <c r="CI28" s="115">
        <f t="shared" si="11"/>
        <v>0</v>
      </c>
      <c r="CJ28" s="115">
        <f t="shared" si="12"/>
        <v>0</v>
      </c>
      <c r="CK28" s="115">
        <f t="shared" si="13"/>
        <v>0</v>
      </c>
      <c r="CL28" s="115">
        <f t="shared" si="14"/>
        <v>0</v>
      </c>
      <c r="CM28" s="115">
        <f t="shared" si="15"/>
        <v>0</v>
      </c>
      <c r="CN28" s="115">
        <f t="shared" si="16"/>
        <v>0</v>
      </c>
      <c r="CP28" s="115" t="str">
        <f t="shared" si="17"/>
        <v>1.00</v>
      </c>
      <c r="CQ28" s="115" t="str">
        <f t="shared" si="18"/>
        <v/>
      </c>
      <c r="CR28" s="115" t="str">
        <f t="shared" si="19"/>
        <v/>
      </c>
      <c r="CS28" s="115" t="str">
        <f t="shared" si="20"/>
        <v/>
      </c>
      <c r="CT28" s="115" t="str">
        <f t="shared" si="21"/>
        <v/>
      </c>
      <c r="CU28" s="115" t="str">
        <f t="shared" si="22"/>
        <v/>
      </c>
      <c r="CV28" s="115" t="str">
        <f t="shared" si="23"/>
        <v/>
      </c>
      <c r="CW28" s="115" t="str">
        <f t="shared" si="24"/>
        <v/>
      </c>
      <c r="CX28" s="115" t="str">
        <f t="shared" si="25"/>
        <v/>
      </c>
      <c r="CY28" s="115" t="str">
        <f t="shared" si="26"/>
        <v/>
      </c>
      <c r="DA28" s="115">
        <f t="shared" si="27"/>
        <v>0.32291666666666669</v>
      </c>
      <c r="DB28" s="115">
        <f t="shared" si="28"/>
        <v>0</v>
      </c>
      <c r="DC28" s="115">
        <f t="shared" si="29"/>
        <v>0</v>
      </c>
      <c r="DD28" s="115">
        <f t="shared" si="30"/>
        <v>0</v>
      </c>
      <c r="DE28" s="115">
        <f t="shared" si="31"/>
        <v>0</v>
      </c>
      <c r="DF28" s="115">
        <f t="shared" si="32"/>
        <v>0</v>
      </c>
      <c r="DG28" s="115">
        <f t="shared" si="33"/>
        <v>0</v>
      </c>
      <c r="DH28" s="115">
        <f t="shared" si="34"/>
        <v>0</v>
      </c>
      <c r="DI28" s="115">
        <f t="shared" si="35"/>
        <v>0</v>
      </c>
      <c r="DJ28" s="115">
        <f t="shared" si="36"/>
        <v>0</v>
      </c>
    </row>
    <row r="29" spans="2:114">
      <c r="B29" s="167">
        <f t="shared" si="37"/>
        <v>44674</v>
      </c>
      <c r="C29" s="168">
        <f t="shared" si="0"/>
        <v>44674</v>
      </c>
      <c r="D29" s="169" t="str">
        <f t="shared" si="1"/>
        <v>土</v>
      </c>
      <c r="E29" s="170" t="str">
        <f t="shared" si="2"/>
        <v>法定外</v>
      </c>
      <c r="F29" s="207">
        <f t="shared" si="3"/>
        <v>0</v>
      </c>
      <c r="G29" s="208">
        <f t="shared" si="3"/>
        <v>0</v>
      </c>
      <c r="H29" s="173"/>
      <c r="I29" s="209"/>
      <c r="J29" s="210" t="str">
        <f t="shared" si="4"/>
        <v/>
      </c>
      <c r="K29" s="211" t="str">
        <f t="shared" si="4"/>
        <v/>
      </c>
      <c r="L29" s="233" t="str">
        <f t="shared" si="4"/>
        <v/>
      </c>
      <c r="M29" s="178">
        <f t="shared" si="43"/>
        <v>0</v>
      </c>
      <c r="N29" s="179">
        <f t="shared" si="43"/>
        <v>0</v>
      </c>
      <c r="O29" s="179">
        <f t="shared" si="43"/>
        <v>0</v>
      </c>
      <c r="P29" s="179">
        <f t="shared" si="43"/>
        <v>0</v>
      </c>
      <c r="Q29" s="179">
        <f t="shared" si="43"/>
        <v>0</v>
      </c>
      <c r="R29" s="179">
        <f t="shared" si="43"/>
        <v>0</v>
      </c>
      <c r="S29" s="179">
        <f t="shared" si="43"/>
        <v>0</v>
      </c>
      <c r="T29" s="179">
        <f t="shared" si="43"/>
        <v>0</v>
      </c>
      <c r="U29" s="179">
        <f t="shared" si="43"/>
        <v>0</v>
      </c>
      <c r="V29" s="179">
        <f t="shared" si="43"/>
        <v>0</v>
      </c>
      <c r="W29" s="179">
        <f t="shared" si="44"/>
        <v>0</v>
      </c>
      <c r="X29" s="179">
        <f t="shared" si="44"/>
        <v>0</v>
      </c>
      <c r="Y29" s="179">
        <f t="shared" si="44"/>
        <v>0</v>
      </c>
      <c r="Z29" s="179">
        <f t="shared" si="44"/>
        <v>0</v>
      </c>
      <c r="AA29" s="213">
        <f t="shared" si="44"/>
        <v>0</v>
      </c>
      <c r="AB29" s="213">
        <f t="shared" si="44"/>
        <v>0</v>
      </c>
      <c r="AC29" s="214">
        <f t="shared" si="44"/>
        <v>0</v>
      </c>
      <c r="AD29" s="215">
        <f t="shared" si="38"/>
        <v>0</v>
      </c>
      <c r="AE29" s="216">
        <f t="shared" si="41"/>
        <v>0</v>
      </c>
      <c r="AF29" s="217">
        <f t="shared" si="42"/>
        <v>0</v>
      </c>
      <c r="AG29" s="218"/>
      <c r="AH29" s="219"/>
      <c r="AI29" s="220"/>
      <c r="AJ29" s="219"/>
      <c r="AK29" s="220"/>
      <c r="AL29" s="219"/>
      <c r="AM29" s="220"/>
      <c r="AN29" s="221"/>
      <c r="AO29" s="234"/>
      <c r="AP29" s="235"/>
      <c r="AQ29" s="224"/>
      <c r="AR29" s="225"/>
      <c r="AS29" s="226"/>
      <c r="AT29" s="226"/>
      <c r="AU29" s="227"/>
      <c r="AV29" s="228"/>
      <c r="AW29" s="198"/>
      <c r="AX29" s="229">
        <f t="shared" si="39"/>
        <v>0</v>
      </c>
      <c r="AY29" s="230">
        <f t="shared" si="40"/>
        <v>0</v>
      </c>
      <c r="AZ29" s="201"/>
      <c r="BA29" s="202"/>
      <c r="BB29" s="203"/>
      <c r="BC29" s="201"/>
      <c r="BD29" s="202"/>
      <c r="BE29" s="203"/>
      <c r="BF29" s="201"/>
      <c r="BG29" s="202"/>
      <c r="BH29" s="203"/>
      <c r="BI29" s="201"/>
      <c r="BJ29" s="202"/>
      <c r="BK29" s="203"/>
      <c r="BL29" s="201"/>
      <c r="BM29" s="202"/>
      <c r="BN29" s="203"/>
      <c r="BO29" s="236"/>
      <c r="BP29" s="202"/>
      <c r="BQ29" s="203"/>
      <c r="BR29" s="236"/>
      <c r="BS29" s="202"/>
      <c r="BT29" s="203"/>
      <c r="BU29" s="236"/>
      <c r="BV29" s="202"/>
      <c r="BW29" s="203"/>
      <c r="BX29" s="236"/>
      <c r="BY29" s="202"/>
      <c r="BZ29" s="203"/>
      <c r="CA29" s="236"/>
      <c r="CB29" s="202"/>
      <c r="CC29" s="203"/>
      <c r="CD29" s="142"/>
      <c r="CE29" s="115">
        <f t="shared" si="7"/>
        <v>0</v>
      </c>
      <c r="CF29" s="115">
        <f t="shared" si="8"/>
        <v>0</v>
      </c>
      <c r="CG29" s="115">
        <f t="shared" si="9"/>
        <v>0</v>
      </c>
      <c r="CH29" s="115">
        <f t="shared" si="10"/>
        <v>0</v>
      </c>
      <c r="CI29" s="115">
        <f t="shared" si="11"/>
        <v>0</v>
      </c>
      <c r="CJ29" s="115">
        <f t="shared" si="12"/>
        <v>0</v>
      </c>
      <c r="CK29" s="115">
        <f t="shared" si="13"/>
        <v>0</v>
      </c>
      <c r="CL29" s="115">
        <f t="shared" si="14"/>
        <v>0</v>
      </c>
      <c r="CM29" s="115">
        <f t="shared" si="15"/>
        <v>0</v>
      </c>
      <c r="CN29" s="115">
        <f t="shared" si="16"/>
        <v>0</v>
      </c>
      <c r="CP29" s="115">
        <f t="shared" si="17"/>
        <v>0</v>
      </c>
      <c r="CQ29" s="115">
        <f t="shared" si="18"/>
        <v>0</v>
      </c>
      <c r="CR29" s="115">
        <f t="shared" si="19"/>
        <v>0</v>
      </c>
      <c r="CS29" s="115">
        <f t="shared" si="20"/>
        <v>0</v>
      </c>
      <c r="CT29" s="115">
        <f t="shared" si="21"/>
        <v>0</v>
      </c>
      <c r="CU29" s="115">
        <f t="shared" si="22"/>
        <v>0</v>
      </c>
      <c r="CV29" s="115">
        <f t="shared" si="23"/>
        <v>0</v>
      </c>
      <c r="CW29" s="115">
        <f t="shared" si="24"/>
        <v>0</v>
      </c>
      <c r="CX29" s="115">
        <f t="shared" si="25"/>
        <v>0</v>
      </c>
      <c r="CY29" s="115">
        <f t="shared" si="26"/>
        <v>0</v>
      </c>
      <c r="DA29" s="115">
        <f t="shared" si="27"/>
        <v>0</v>
      </c>
      <c r="DB29" s="115">
        <f t="shared" si="28"/>
        <v>0</v>
      </c>
      <c r="DC29" s="115">
        <f t="shared" si="29"/>
        <v>0</v>
      </c>
      <c r="DD29" s="115">
        <f t="shared" si="30"/>
        <v>0</v>
      </c>
      <c r="DE29" s="115">
        <f t="shared" si="31"/>
        <v>0</v>
      </c>
      <c r="DF29" s="115">
        <f t="shared" si="32"/>
        <v>0</v>
      </c>
      <c r="DG29" s="115">
        <f t="shared" si="33"/>
        <v>0</v>
      </c>
      <c r="DH29" s="115">
        <f t="shared" si="34"/>
        <v>0</v>
      </c>
      <c r="DI29" s="115">
        <f t="shared" si="35"/>
        <v>0</v>
      </c>
      <c r="DJ29" s="115">
        <f t="shared" si="36"/>
        <v>0</v>
      </c>
    </row>
    <row r="30" spans="2:114">
      <c r="B30" s="167">
        <f t="shared" si="37"/>
        <v>44675</v>
      </c>
      <c r="C30" s="168">
        <f t="shared" si="0"/>
        <v>44675</v>
      </c>
      <c r="D30" s="169" t="str">
        <f t="shared" si="1"/>
        <v>日</v>
      </c>
      <c r="E30" s="170" t="str">
        <f t="shared" si="2"/>
        <v>法定</v>
      </c>
      <c r="F30" s="207">
        <f t="shared" si="3"/>
        <v>0</v>
      </c>
      <c r="G30" s="208">
        <f t="shared" si="3"/>
        <v>0</v>
      </c>
      <c r="H30" s="173"/>
      <c r="I30" s="209"/>
      <c r="J30" s="210" t="str">
        <f t="shared" si="4"/>
        <v/>
      </c>
      <c r="K30" s="211" t="str">
        <f t="shared" si="4"/>
        <v/>
      </c>
      <c r="L30" s="233" t="str">
        <f t="shared" si="4"/>
        <v/>
      </c>
      <c r="M30" s="178">
        <f t="shared" si="43"/>
        <v>0</v>
      </c>
      <c r="N30" s="179">
        <f t="shared" si="43"/>
        <v>0</v>
      </c>
      <c r="O30" s="179">
        <f t="shared" si="43"/>
        <v>0</v>
      </c>
      <c r="P30" s="179">
        <f t="shared" si="43"/>
        <v>0</v>
      </c>
      <c r="Q30" s="179">
        <f t="shared" si="43"/>
        <v>0</v>
      </c>
      <c r="R30" s="179">
        <f t="shared" si="43"/>
        <v>0</v>
      </c>
      <c r="S30" s="179">
        <f t="shared" si="43"/>
        <v>0</v>
      </c>
      <c r="T30" s="179">
        <f t="shared" si="43"/>
        <v>0</v>
      </c>
      <c r="U30" s="179">
        <f t="shared" si="43"/>
        <v>0</v>
      </c>
      <c r="V30" s="179">
        <f t="shared" si="43"/>
        <v>0</v>
      </c>
      <c r="W30" s="179">
        <f t="shared" si="44"/>
        <v>0</v>
      </c>
      <c r="X30" s="179">
        <f t="shared" si="44"/>
        <v>0</v>
      </c>
      <c r="Y30" s="179">
        <f t="shared" si="44"/>
        <v>0</v>
      </c>
      <c r="Z30" s="179">
        <f t="shared" si="44"/>
        <v>0</v>
      </c>
      <c r="AA30" s="213">
        <f t="shared" si="44"/>
        <v>0</v>
      </c>
      <c r="AB30" s="213">
        <f t="shared" si="44"/>
        <v>0</v>
      </c>
      <c r="AC30" s="214">
        <f t="shared" si="44"/>
        <v>0</v>
      </c>
      <c r="AD30" s="215">
        <f t="shared" si="38"/>
        <v>0</v>
      </c>
      <c r="AE30" s="216">
        <f t="shared" si="41"/>
        <v>0</v>
      </c>
      <c r="AF30" s="217">
        <f t="shared" si="42"/>
        <v>0</v>
      </c>
      <c r="AG30" s="218"/>
      <c r="AH30" s="219"/>
      <c r="AI30" s="220"/>
      <c r="AJ30" s="219"/>
      <c r="AK30" s="220"/>
      <c r="AL30" s="219"/>
      <c r="AM30" s="220"/>
      <c r="AN30" s="221"/>
      <c r="AO30" s="234"/>
      <c r="AP30" s="235"/>
      <c r="AQ30" s="224"/>
      <c r="AR30" s="225"/>
      <c r="AS30" s="226"/>
      <c r="AT30" s="226"/>
      <c r="AU30" s="227"/>
      <c r="AV30" s="228"/>
      <c r="AW30" s="198"/>
      <c r="AX30" s="229">
        <f t="shared" si="39"/>
        <v>0</v>
      </c>
      <c r="AY30" s="230">
        <f t="shared" si="40"/>
        <v>0</v>
      </c>
      <c r="AZ30" s="201"/>
      <c r="BA30" s="202"/>
      <c r="BB30" s="203"/>
      <c r="BC30" s="201"/>
      <c r="BD30" s="202"/>
      <c r="BE30" s="203"/>
      <c r="BF30" s="201"/>
      <c r="BG30" s="202"/>
      <c r="BH30" s="203"/>
      <c r="BI30" s="201"/>
      <c r="BJ30" s="202"/>
      <c r="BK30" s="203"/>
      <c r="BL30" s="201"/>
      <c r="BM30" s="202"/>
      <c r="BN30" s="203"/>
      <c r="BO30" s="201"/>
      <c r="BP30" s="202"/>
      <c r="BQ30" s="203"/>
      <c r="BR30" s="236"/>
      <c r="BS30" s="202"/>
      <c r="BT30" s="203"/>
      <c r="BU30" s="236"/>
      <c r="BV30" s="202"/>
      <c r="BW30" s="203"/>
      <c r="BX30" s="236"/>
      <c r="BY30" s="202"/>
      <c r="BZ30" s="203"/>
      <c r="CA30" s="236"/>
      <c r="CB30" s="202"/>
      <c r="CC30" s="203"/>
      <c r="CD30" s="142"/>
      <c r="CE30" s="115">
        <f t="shared" si="7"/>
        <v>0</v>
      </c>
      <c r="CF30" s="115">
        <f t="shared" si="8"/>
        <v>0</v>
      </c>
      <c r="CG30" s="115">
        <f t="shared" si="9"/>
        <v>0</v>
      </c>
      <c r="CH30" s="115">
        <f t="shared" si="10"/>
        <v>0</v>
      </c>
      <c r="CI30" s="115">
        <f t="shared" si="11"/>
        <v>0</v>
      </c>
      <c r="CJ30" s="115">
        <f t="shared" si="12"/>
        <v>0</v>
      </c>
      <c r="CK30" s="115">
        <f t="shared" si="13"/>
        <v>0</v>
      </c>
      <c r="CL30" s="115">
        <f t="shared" si="14"/>
        <v>0</v>
      </c>
      <c r="CM30" s="115">
        <f t="shared" si="15"/>
        <v>0</v>
      </c>
      <c r="CN30" s="115">
        <f t="shared" si="16"/>
        <v>0</v>
      </c>
      <c r="CP30" s="115">
        <f t="shared" si="17"/>
        <v>0</v>
      </c>
      <c r="CQ30" s="115">
        <f t="shared" si="18"/>
        <v>0</v>
      </c>
      <c r="CR30" s="115">
        <f t="shared" si="19"/>
        <v>0</v>
      </c>
      <c r="CS30" s="115">
        <f t="shared" si="20"/>
        <v>0</v>
      </c>
      <c r="CT30" s="115">
        <f t="shared" si="21"/>
        <v>0</v>
      </c>
      <c r="CU30" s="115">
        <f t="shared" si="22"/>
        <v>0</v>
      </c>
      <c r="CV30" s="115">
        <f t="shared" si="23"/>
        <v>0</v>
      </c>
      <c r="CW30" s="115">
        <f t="shared" si="24"/>
        <v>0</v>
      </c>
      <c r="CX30" s="115">
        <f t="shared" si="25"/>
        <v>0</v>
      </c>
      <c r="CY30" s="115">
        <f t="shared" si="26"/>
        <v>0</v>
      </c>
      <c r="DA30" s="115">
        <f t="shared" si="27"/>
        <v>0</v>
      </c>
      <c r="DB30" s="115">
        <f t="shared" si="28"/>
        <v>0</v>
      </c>
      <c r="DC30" s="115">
        <f t="shared" si="29"/>
        <v>0</v>
      </c>
      <c r="DD30" s="115">
        <f t="shared" si="30"/>
        <v>0</v>
      </c>
      <c r="DE30" s="115">
        <f t="shared" si="31"/>
        <v>0</v>
      </c>
      <c r="DF30" s="115">
        <f t="shared" si="32"/>
        <v>0</v>
      </c>
      <c r="DG30" s="115">
        <f t="shared" si="33"/>
        <v>0</v>
      </c>
      <c r="DH30" s="115">
        <f t="shared" si="34"/>
        <v>0</v>
      </c>
      <c r="DI30" s="115">
        <f t="shared" si="35"/>
        <v>0</v>
      </c>
      <c r="DJ30" s="115">
        <f t="shared" si="36"/>
        <v>0</v>
      </c>
    </row>
    <row r="31" spans="2:114">
      <c r="B31" s="167">
        <f t="shared" si="37"/>
        <v>44676</v>
      </c>
      <c r="C31" s="168">
        <f t="shared" si="0"/>
        <v>44676</v>
      </c>
      <c r="D31" s="169" t="str">
        <f t="shared" si="1"/>
        <v>月</v>
      </c>
      <c r="E31" s="170" t="str">
        <f t="shared" si="2"/>
        <v/>
      </c>
      <c r="F31" s="207">
        <f t="shared" si="3"/>
        <v>0.375</v>
      </c>
      <c r="G31" s="208">
        <f t="shared" si="3"/>
        <v>0.73958333333333337</v>
      </c>
      <c r="H31" s="173"/>
      <c r="I31" s="209"/>
      <c r="J31" s="210" t="str">
        <f t="shared" si="4"/>
        <v/>
      </c>
      <c r="K31" s="211" t="str">
        <f t="shared" si="4"/>
        <v/>
      </c>
      <c r="L31" s="233" t="str">
        <f t="shared" si="4"/>
        <v/>
      </c>
      <c r="M31" s="178">
        <f t="shared" si="43"/>
        <v>0.32291666666666669</v>
      </c>
      <c r="N31" s="179">
        <f t="shared" si="43"/>
        <v>0</v>
      </c>
      <c r="O31" s="179">
        <f t="shared" si="43"/>
        <v>0</v>
      </c>
      <c r="P31" s="179">
        <f t="shared" si="43"/>
        <v>0</v>
      </c>
      <c r="Q31" s="179">
        <f t="shared" si="43"/>
        <v>0</v>
      </c>
      <c r="R31" s="179">
        <f t="shared" si="43"/>
        <v>0</v>
      </c>
      <c r="S31" s="179">
        <f t="shared" si="43"/>
        <v>0</v>
      </c>
      <c r="T31" s="179">
        <f t="shared" si="43"/>
        <v>0</v>
      </c>
      <c r="U31" s="179">
        <f t="shared" si="43"/>
        <v>0</v>
      </c>
      <c r="V31" s="179">
        <f t="shared" si="43"/>
        <v>0</v>
      </c>
      <c r="W31" s="179">
        <f t="shared" si="44"/>
        <v>0</v>
      </c>
      <c r="X31" s="179">
        <f t="shared" si="44"/>
        <v>0</v>
      </c>
      <c r="Y31" s="179">
        <f t="shared" si="44"/>
        <v>0</v>
      </c>
      <c r="Z31" s="179">
        <f t="shared" si="44"/>
        <v>0</v>
      </c>
      <c r="AA31" s="213">
        <f t="shared" si="44"/>
        <v>0</v>
      </c>
      <c r="AB31" s="213">
        <f t="shared" si="44"/>
        <v>0</v>
      </c>
      <c r="AC31" s="214">
        <f t="shared" si="44"/>
        <v>0</v>
      </c>
      <c r="AD31" s="215">
        <f t="shared" si="38"/>
        <v>0.32291666666666674</v>
      </c>
      <c r="AE31" s="216">
        <f t="shared" si="41"/>
        <v>0</v>
      </c>
      <c r="AF31" s="217">
        <f t="shared" si="42"/>
        <v>0</v>
      </c>
      <c r="AG31" s="218"/>
      <c r="AH31" s="219"/>
      <c r="AI31" s="220"/>
      <c r="AJ31" s="219"/>
      <c r="AK31" s="220"/>
      <c r="AL31" s="219"/>
      <c r="AM31" s="220"/>
      <c r="AN31" s="221"/>
      <c r="AO31" s="222" t="s">
        <v>651</v>
      </c>
      <c r="AP31" s="223"/>
      <c r="AQ31" s="224"/>
      <c r="AR31" s="225"/>
      <c r="AS31" s="226" t="s">
        <v>464</v>
      </c>
      <c r="AT31" s="226" t="s">
        <v>464</v>
      </c>
      <c r="AU31" s="227"/>
      <c r="AV31" s="228">
        <v>0.375</v>
      </c>
      <c r="AW31" s="198">
        <v>0.73958333333333337</v>
      </c>
      <c r="AX31" s="229">
        <f t="shared" si="39"/>
        <v>0.32291666666666669</v>
      </c>
      <c r="AY31" s="230">
        <f t="shared" si="40"/>
        <v>0.32291666666666669</v>
      </c>
      <c r="AZ31" s="201" t="s">
        <v>649</v>
      </c>
      <c r="BA31" s="202" t="s">
        <v>121</v>
      </c>
      <c r="BB31" s="203">
        <v>0.32291666666666669</v>
      </c>
      <c r="BC31" s="201"/>
      <c r="BD31" s="202" t="s">
        <v>464</v>
      </c>
      <c r="BE31" s="203"/>
      <c r="BF31" s="201"/>
      <c r="BG31" s="202" t="s">
        <v>464</v>
      </c>
      <c r="BH31" s="203"/>
      <c r="BI31" s="201"/>
      <c r="BJ31" s="202" t="s">
        <v>464</v>
      </c>
      <c r="BK31" s="203"/>
      <c r="BL31" s="201"/>
      <c r="BM31" s="202" t="s">
        <v>464</v>
      </c>
      <c r="BN31" s="203"/>
      <c r="BO31" s="201"/>
      <c r="BP31" s="202" t="s">
        <v>464</v>
      </c>
      <c r="BQ31" s="203"/>
      <c r="BR31" s="236"/>
      <c r="BS31" s="202" t="s">
        <v>464</v>
      </c>
      <c r="BT31" s="203"/>
      <c r="BU31" s="236"/>
      <c r="BV31" s="202" t="s">
        <v>464</v>
      </c>
      <c r="BW31" s="203"/>
      <c r="BX31" s="236"/>
      <c r="BY31" s="202" t="s">
        <v>464</v>
      </c>
      <c r="BZ31" s="203"/>
      <c r="CA31" s="236"/>
      <c r="CB31" s="202" t="s">
        <v>464</v>
      </c>
      <c r="CC31" s="203"/>
      <c r="CD31" s="142"/>
      <c r="CE31" s="115" t="str">
        <f t="shared" si="7"/>
        <v>PR-233320101</v>
      </c>
      <c r="CF31" s="115">
        <f t="shared" si="8"/>
        <v>0</v>
      </c>
      <c r="CG31" s="115">
        <f t="shared" si="9"/>
        <v>0</v>
      </c>
      <c r="CH31" s="115">
        <f t="shared" si="10"/>
        <v>0</v>
      </c>
      <c r="CI31" s="115">
        <f t="shared" si="11"/>
        <v>0</v>
      </c>
      <c r="CJ31" s="115">
        <f t="shared" si="12"/>
        <v>0</v>
      </c>
      <c r="CK31" s="115">
        <f t="shared" si="13"/>
        <v>0</v>
      </c>
      <c r="CL31" s="115">
        <f t="shared" si="14"/>
        <v>0</v>
      </c>
      <c r="CM31" s="115">
        <f t="shared" si="15"/>
        <v>0</v>
      </c>
      <c r="CN31" s="115">
        <f t="shared" si="16"/>
        <v>0</v>
      </c>
      <c r="CP31" s="115" t="str">
        <f t="shared" si="17"/>
        <v>1.00</v>
      </c>
      <c r="CQ31" s="115" t="str">
        <f t="shared" si="18"/>
        <v/>
      </c>
      <c r="CR31" s="115" t="str">
        <f t="shared" si="19"/>
        <v/>
      </c>
      <c r="CS31" s="115" t="str">
        <f t="shared" si="20"/>
        <v/>
      </c>
      <c r="CT31" s="115" t="str">
        <f t="shared" si="21"/>
        <v/>
      </c>
      <c r="CU31" s="115" t="str">
        <f t="shared" si="22"/>
        <v/>
      </c>
      <c r="CV31" s="115" t="str">
        <f t="shared" si="23"/>
        <v/>
      </c>
      <c r="CW31" s="115" t="str">
        <f t="shared" si="24"/>
        <v/>
      </c>
      <c r="CX31" s="115" t="str">
        <f t="shared" si="25"/>
        <v/>
      </c>
      <c r="CY31" s="115" t="str">
        <f t="shared" si="26"/>
        <v/>
      </c>
      <c r="DA31" s="115">
        <f t="shared" si="27"/>
        <v>0.32291666666666669</v>
      </c>
      <c r="DB31" s="115">
        <f t="shared" si="28"/>
        <v>0</v>
      </c>
      <c r="DC31" s="115">
        <f t="shared" si="29"/>
        <v>0</v>
      </c>
      <c r="DD31" s="115">
        <f t="shared" si="30"/>
        <v>0</v>
      </c>
      <c r="DE31" s="115">
        <f t="shared" si="31"/>
        <v>0</v>
      </c>
      <c r="DF31" s="115">
        <f t="shared" si="32"/>
        <v>0</v>
      </c>
      <c r="DG31" s="115">
        <f t="shared" si="33"/>
        <v>0</v>
      </c>
      <c r="DH31" s="115">
        <f t="shared" si="34"/>
        <v>0</v>
      </c>
      <c r="DI31" s="115">
        <f t="shared" si="35"/>
        <v>0</v>
      </c>
      <c r="DJ31" s="115">
        <f t="shared" si="36"/>
        <v>0</v>
      </c>
    </row>
    <row r="32" spans="2:114">
      <c r="B32" s="167">
        <f t="shared" si="37"/>
        <v>44677</v>
      </c>
      <c r="C32" s="168">
        <f t="shared" si="0"/>
        <v>44677</v>
      </c>
      <c r="D32" s="169" t="str">
        <f t="shared" si="1"/>
        <v>火</v>
      </c>
      <c r="E32" s="170" t="str">
        <f t="shared" si="2"/>
        <v/>
      </c>
      <c r="F32" s="207">
        <f t="shared" si="3"/>
        <v>0.33333333333333331</v>
      </c>
      <c r="G32" s="208">
        <f t="shared" si="3"/>
        <v>0.70833333333333337</v>
      </c>
      <c r="H32" s="173"/>
      <c r="I32" s="209"/>
      <c r="J32" s="210" t="str">
        <f t="shared" si="4"/>
        <v/>
      </c>
      <c r="K32" s="211" t="str">
        <f t="shared" si="4"/>
        <v/>
      </c>
      <c r="L32" s="233" t="str">
        <f t="shared" si="4"/>
        <v/>
      </c>
      <c r="M32" s="178">
        <f t="shared" si="43"/>
        <v>0.33333333333333331</v>
      </c>
      <c r="N32" s="179">
        <f t="shared" si="43"/>
        <v>0</v>
      </c>
      <c r="O32" s="179">
        <f t="shared" si="43"/>
        <v>0</v>
      </c>
      <c r="P32" s="179">
        <f t="shared" si="43"/>
        <v>0</v>
      </c>
      <c r="Q32" s="179">
        <f t="shared" si="43"/>
        <v>0</v>
      </c>
      <c r="R32" s="179">
        <f t="shared" si="43"/>
        <v>0</v>
      </c>
      <c r="S32" s="179">
        <f t="shared" si="43"/>
        <v>0</v>
      </c>
      <c r="T32" s="179">
        <f t="shared" si="43"/>
        <v>0</v>
      </c>
      <c r="U32" s="179">
        <f t="shared" si="43"/>
        <v>0</v>
      </c>
      <c r="V32" s="179">
        <f t="shared" si="43"/>
        <v>0</v>
      </c>
      <c r="W32" s="179">
        <f t="shared" si="44"/>
        <v>0</v>
      </c>
      <c r="X32" s="179">
        <f t="shared" si="44"/>
        <v>0</v>
      </c>
      <c r="Y32" s="179">
        <f t="shared" si="44"/>
        <v>0</v>
      </c>
      <c r="Z32" s="179">
        <f t="shared" si="44"/>
        <v>0</v>
      </c>
      <c r="AA32" s="213">
        <f t="shared" si="44"/>
        <v>0</v>
      </c>
      <c r="AB32" s="213">
        <f t="shared" si="44"/>
        <v>0</v>
      </c>
      <c r="AC32" s="214">
        <f t="shared" si="44"/>
        <v>0</v>
      </c>
      <c r="AD32" s="215">
        <f t="shared" si="38"/>
        <v>0.33333333333333326</v>
      </c>
      <c r="AE32" s="216">
        <f t="shared" si="41"/>
        <v>0</v>
      </c>
      <c r="AF32" s="217">
        <f t="shared" si="42"/>
        <v>0</v>
      </c>
      <c r="AG32" s="218"/>
      <c r="AH32" s="219"/>
      <c r="AI32" s="220"/>
      <c r="AJ32" s="219"/>
      <c r="AK32" s="220"/>
      <c r="AL32" s="219"/>
      <c r="AM32" s="220"/>
      <c r="AN32" s="221"/>
      <c r="AO32" s="222" t="s">
        <v>651</v>
      </c>
      <c r="AP32" s="223"/>
      <c r="AQ32" s="224"/>
      <c r="AR32" s="225"/>
      <c r="AS32" s="226" t="s">
        <v>464</v>
      </c>
      <c r="AT32" s="226" t="s">
        <v>464</v>
      </c>
      <c r="AU32" s="227"/>
      <c r="AV32" s="228">
        <v>0.33333333333333331</v>
      </c>
      <c r="AW32" s="198">
        <v>0.70833333333333337</v>
      </c>
      <c r="AX32" s="229">
        <f t="shared" si="39"/>
        <v>0.33333333333333337</v>
      </c>
      <c r="AY32" s="230">
        <f t="shared" si="40"/>
        <v>0.33333333333333331</v>
      </c>
      <c r="AZ32" s="201" t="s">
        <v>649</v>
      </c>
      <c r="BA32" s="202" t="s">
        <v>121</v>
      </c>
      <c r="BB32" s="203">
        <v>0.33333333333333331</v>
      </c>
      <c r="BC32" s="201"/>
      <c r="BD32" s="202" t="s">
        <v>464</v>
      </c>
      <c r="BE32" s="203"/>
      <c r="BF32" s="201"/>
      <c r="BG32" s="202" t="s">
        <v>464</v>
      </c>
      <c r="BH32" s="203"/>
      <c r="BI32" s="201"/>
      <c r="BJ32" s="202" t="s">
        <v>464</v>
      </c>
      <c r="BK32" s="203"/>
      <c r="BL32" s="201"/>
      <c r="BM32" s="202" t="s">
        <v>464</v>
      </c>
      <c r="BN32" s="203"/>
      <c r="BO32" s="236"/>
      <c r="BP32" s="202" t="s">
        <v>464</v>
      </c>
      <c r="BQ32" s="203"/>
      <c r="BR32" s="236"/>
      <c r="BS32" s="202" t="s">
        <v>464</v>
      </c>
      <c r="BT32" s="203"/>
      <c r="BU32" s="236"/>
      <c r="BV32" s="202" t="s">
        <v>464</v>
      </c>
      <c r="BW32" s="203"/>
      <c r="BX32" s="236"/>
      <c r="BY32" s="202" t="s">
        <v>464</v>
      </c>
      <c r="BZ32" s="203"/>
      <c r="CA32" s="236"/>
      <c r="CB32" s="202" t="s">
        <v>464</v>
      </c>
      <c r="CC32" s="203"/>
      <c r="CD32" s="142"/>
      <c r="CE32" s="115" t="str">
        <f t="shared" si="7"/>
        <v>PR-233320101</v>
      </c>
      <c r="CF32" s="115">
        <f t="shared" si="8"/>
        <v>0</v>
      </c>
      <c r="CG32" s="115">
        <f t="shared" si="9"/>
        <v>0</v>
      </c>
      <c r="CH32" s="115">
        <f t="shared" si="10"/>
        <v>0</v>
      </c>
      <c r="CI32" s="115">
        <f t="shared" si="11"/>
        <v>0</v>
      </c>
      <c r="CJ32" s="115">
        <f t="shared" si="12"/>
        <v>0</v>
      </c>
      <c r="CK32" s="115">
        <f t="shared" si="13"/>
        <v>0</v>
      </c>
      <c r="CL32" s="115">
        <f t="shared" si="14"/>
        <v>0</v>
      </c>
      <c r="CM32" s="115">
        <f t="shared" si="15"/>
        <v>0</v>
      </c>
      <c r="CN32" s="115">
        <f t="shared" si="16"/>
        <v>0</v>
      </c>
      <c r="CP32" s="115" t="str">
        <f t="shared" si="17"/>
        <v>1.00</v>
      </c>
      <c r="CQ32" s="115" t="str">
        <f t="shared" si="18"/>
        <v/>
      </c>
      <c r="CR32" s="115" t="str">
        <f t="shared" si="19"/>
        <v/>
      </c>
      <c r="CS32" s="115" t="str">
        <f t="shared" si="20"/>
        <v/>
      </c>
      <c r="CT32" s="115" t="str">
        <f t="shared" si="21"/>
        <v/>
      </c>
      <c r="CU32" s="115" t="str">
        <f t="shared" si="22"/>
        <v/>
      </c>
      <c r="CV32" s="115" t="str">
        <f t="shared" si="23"/>
        <v/>
      </c>
      <c r="CW32" s="115" t="str">
        <f t="shared" si="24"/>
        <v/>
      </c>
      <c r="CX32" s="115" t="str">
        <f t="shared" si="25"/>
        <v/>
      </c>
      <c r="CY32" s="115" t="str">
        <f t="shared" si="26"/>
        <v/>
      </c>
      <c r="DA32" s="115">
        <f t="shared" si="27"/>
        <v>0.33333333333333331</v>
      </c>
      <c r="DB32" s="115">
        <f t="shared" si="28"/>
        <v>0</v>
      </c>
      <c r="DC32" s="115">
        <f t="shared" si="29"/>
        <v>0</v>
      </c>
      <c r="DD32" s="115">
        <f t="shared" si="30"/>
        <v>0</v>
      </c>
      <c r="DE32" s="115">
        <f t="shared" si="31"/>
        <v>0</v>
      </c>
      <c r="DF32" s="115">
        <f t="shared" si="32"/>
        <v>0</v>
      </c>
      <c r="DG32" s="115">
        <f t="shared" si="33"/>
        <v>0</v>
      </c>
      <c r="DH32" s="115">
        <f t="shared" si="34"/>
        <v>0</v>
      </c>
      <c r="DI32" s="115">
        <f t="shared" si="35"/>
        <v>0</v>
      </c>
      <c r="DJ32" s="115">
        <f t="shared" si="36"/>
        <v>0</v>
      </c>
    </row>
    <row r="33" spans="2:114">
      <c r="B33" s="167">
        <f t="shared" si="37"/>
        <v>44678</v>
      </c>
      <c r="C33" s="168">
        <f t="shared" si="0"/>
        <v>44678</v>
      </c>
      <c r="D33" s="169" t="str">
        <f t="shared" si="1"/>
        <v>水</v>
      </c>
      <c r="E33" s="170" t="str">
        <f t="shared" si="2"/>
        <v/>
      </c>
      <c r="F33" s="207">
        <f t="shared" si="3"/>
        <v>0.375</v>
      </c>
      <c r="G33" s="208">
        <f t="shared" si="3"/>
        <v>0.73958333333333337</v>
      </c>
      <c r="H33" s="173"/>
      <c r="I33" s="209"/>
      <c r="J33" s="210" t="str">
        <f t="shared" si="4"/>
        <v/>
      </c>
      <c r="K33" s="211" t="str">
        <f t="shared" si="4"/>
        <v/>
      </c>
      <c r="L33" s="233" t="str">
        <f t="shared" si="4"/>
        <v/>
      </c>
      <c r="M33" s="178">
        <f t="shared" si="43"/>
        <v>0.32291666666666669</v>
      </c>
      <c r="N33" s="179">
        <f t="shared" si="43"/>
        <v>0</v>
      </c>
      <c r="O33" s="179">
        <f t="shared" si="43"/>
        <v>0</v>
      </c>
      <c r="P33" s="179">
        <f t="shared" si="43"/>
        <v>0</v>
      </c>
      <c r="Q33" s="179">
        <f t="shared" si="43"/>
        <v>0</v>
      </c>
      <c r="R33" s="179">
        <f t="shared" si="43"/>
        <v>0</v>
      </c>
      <c r="S33" s="179">
        <f t="shared" si="43"/>
        <v>0</v>
      </c>
      <c r="T33" s="179">
        <f t="shared" si="43"/>
        <v>0</v>
      </c>
      <c r="U33" s="179">
        <f t="shared" si="43"/>
        <v>0</v>
      </c>
      <c r="V33" s="179">
        <f t="shared" si="43"/>
        <v>0</v>
      </c>
      <c r="W33" s="179">
        <f t="shared" si="44"/>
        <v>0</v>
      </c>
      <c r="X33" s="179">
        <f t="shared" si="44"/>
        <v>0</v>
      </c>
      <c r="Y33" s="179">
        <f t="shared" si="44"/>
        <v>0</v>
      </c>
      <c r="Z33" s="179">
        <f t="shared" si="44"/>
        <v>0</v>
      </c>
      <c r="AA33" s="213">
        <f t="shared" si="44"/>
        <v>0</v>
      </c>
      <c r="AB33" s="213">
        <f t="shared" si="44"/>
        <v>0</v>
      </c>
      <c r="AC33" s="214">
        <f t="shared" si="44"/>
        <v>0</v>
      </c>
      <c r="AD33" s="215">
        <f t="shared" si="38"/>
        <v>0.32291666666666674</v>
      </c>
      <c r="AE33" s="216">
        <f t="shared" si="41"/>
        <v>0</v>
      </c>
      <c r="AF33" s="217">
        <f t="shared" si="42"/>
        <v>0</v>
      </c>
      <c r="AG33" s="218"/>
      <c r="AH33" s="219"/>
      <c r="AI33" s="220"/>
      <c r="AJ33" s="219"/>
      <c r="AK33" s="220"/>
      <c r="AL33" s="219"/>
      <c r="AM33" s="220"/>
      <c r="AN33" s="221"/>
      <c r="AO33" s="234" t="s">
        <v>660</v>
      </c>
      <c r="AP33" s="235"/>
      <c r="AQ33" s="224"/>
      <c r="AR33" s="225"/>
      <c r="AS33" s="226" t="s">
        <v>464</v>
      </c>
      <c r="AT33" s="226" t="s">
        <v>464</v>
      </c>
      <c r="AU33" s="227"/>
      <c r="AV33" s="228">
        <v>0.375</v>
      </c>
      <c r="AW33" s="198">
        <v>0.73958333333333337</v>
      </c>
      <c r="AX33" s="229">
        <f t="shared" si="39"/>
        <v>0.32291666666666669</v>
      </c>
      <c r="AY33" s="230">
        <f t="shared" si="40"/>
        <v>0.32291666666666669</v>
      </c>
      <c r="AZ33" s="201" t="s">
        <v>649</v>
      </c>
      <c r="BA33" s="202" t="s">
        <v>121</v>
      </c>
      <c r="BB33" s="203">
        <v>0.32291666666666669</v>
      </c>
      <c r="BC33" s="201"/>
      <c r="BD33" s="202" t="s">
        <v>464</v>
      </c>
      <c r="BE33" s="203"/>
      <c r="BF33" s="201"/>
      <c r="BG33" s="202" t="s">
        <v>464</v>
      </c>
      <c r="BH33" s="203"/>
      <c r="BI33" s="201"/>
      <c r="BJ33" s="202" t="s">
        <v>464</v>
      </c>
      <c r="BK33" s="203"/>
      <c r="BL33" s="236"/>
      <c r="BM33" s="202" t="s">
        <v>464</v>
      </c>
      <c r="BN33" s="203"/>
      <c r="BO33" s="236"/>
      <c r="BP33" s="202" t="s">
        <v>464</v>
      </c>
      <c r="BQ33" s="203"/>
      <c r="BR33" s="236"/>
      <c r="BS33" s="202" t="s">
        <v>464</v>
      </c>
      <c r="BT33" s="203"/>
      <c r="BU33" s="236"/>
      <c r="BV33" s="202" t="s">
        <v>464</v>
      </c>
      <c r="BW33" s="203"/>
      <c r="BX33" s="236"/>
      <c r="BY33" s="202" t="s">
        <v>464</v>
      </c>
      <c r="BZ33" s="203"/>
      <c r="CA33" s="236"/>
      <c r="CB33" s="202" t="s">
        <v>464</v>
      </c>
      <c r="CC33" s="203"/>
      <c r="CD33" s="142"/>
      <c r="CE33" s="115" t="str">
        <f t="shared" si="7"/>
        <v>PR-233320101</v>
      </c>
      <c r="CF33" s="115">
        <f t="shared" si="8"/>
        <v>0</v>
      </c>
      <c r="CG33" s="115">
        <f t="shared" si="9"/>
        <v>0</v>
      </c>
      <c r="CH33" s="115">
        <f t="shared" si="10"/>
        <v>0</v>
      </c>
      <c r="CI33" s="115">
        <f t="shared" si="11"/>
        <v>0</v>
      </c>
      <c r="CJ33" s="115">
        <f t="shared" si="12"/>
        <v>0</v>
      </c>
      <c r="CK33" s="115">
        <f t="shared" si="13"/>
        <v>0</v>
      </c>
      <c r="CL33" s="115">
        <f t="shared" si="14"/>
        <v>0</v>
      </c>
      <c r="CM33" s="115">
        <f t="shared" si="15"/>
        <v>0</v>
      </c>
      <c r="CN33" s="115">
        <f t="shared" si="16"/>
        <v>0</v>
      </c>
      <c r="CP33" s="115" t="str">
        <f t="shared" si="17"/>
        <v>1.00</v>
      </c>
      <c r="CQ33" s="115" t="str">
        <f t="shared" si="18"/>
        <v/>
      </c>
      <c r="CR33" s="115" t="str">
        <f t="shared" si="19"/>
        <v/>
      </c>
      <c r="CS33" s="115" t="str">
        <f t="shared" si="20"/>
        <v/>
      </c>
      <c r="CT33" s="115" t="str">
        <f t="shared" si="21"/>
        <v/>
      </c>
      <c r="CU33" s="115" t="str">
        <f t="shared" si="22"/>
        <v/>
      </c>
      <c r="CV33" s="115" t="str">
        <f t="shared" si="23"/>
        <v/>
      </c>
      <c r="CW33" s="115" t="str">
        <f t="shared" si="24"/>
        <v/>
      </c>
      <c r="CX33" s="115" t="str">
        <f t="shared" si="25"/>
        <v/>
      </c>
      <c r="CY33" s="115" t="str">
        <f t="shared" si="26"/>
        <v/>
      </c>
      <c r="DA33" s="115">
        <f t="shared" si="27"/>
        <v>0.32291666666666669</v>
      </c>
      <c r="DB33" s="115">
        <f t="shared" si="28"/>
        <v>0</v>
      </c>
      <c r="DC33" s="115">
        <f t="shared" si="29"/>
        <v>0</v>
      </c>
      <c r="DD33" s="115">
        <f t="shared" si="30"/>
        <v>0</v>
      </c>
      <c r="DE33" s="115">
        <f t="shared" si="31"/>
        <v>0</v>
      </c>
      <c r="DF33" s="115">
        <f t="shared" si="32"/>
        <v>0</v>
      </c>
      <c r="DG33" s="115">
        <f t="shared" si="33"/>
        <v>0</v>
      </c>
      <c r="DH33" s="115">
        <f t="shared" si="34"/>
        <v>0</v>
      </c>
      <c r="DI33" s="115">
        <f t="shared" si="35"/>
        <v>0</v>
      </c>
      <c r="DJ33" s="115">
        <f t="shared" si="36"/>
        <v>0</v>
      </c>
    </row>
    <row r="34" spans="2:114">
      <c r="B34" s="167">
        <f t="shared" si="37"/>
        <v>44679</v>
      </c>
      <c r="C34" s="168">
        <f t="shared" si="0"/>
        <v>44679</v>
      </c>
      <c r="D34" s="169" t="str">
        <f t="shared" si="1"/>
        <v>木</v>
      </c>
      <c r="E34" s="170" t="str">
        <f t="shared" si="2"/>
        <v/>
      </c>
      <c r="F34" s="207">
        <f t="shared" si="3"/>
        <v>0.33333333333333331</v>
      </c>
      <c r="G34" s="208">
        <f t="shared" si="3"/>
        <v>0.70833333333333337</v>
      </c>
      <c r="H34" s="173"/>
      <c r="I34" s="209"/>
      <c r="J34" s="210" t="str">
        <f t="shared" si="4"/>
        <v/>
      </c>
      <c r="K34" s="211" t="str">
        <f t="shared" si="4"/>
        <v/>
      </c>
      <c r="L34" s="233" t="str">
        <f t="shared" si="4"/>
        <v/>
      </c>
      <c r="M34" s="178">
        <f t="shared" si="43"/>
        <v>0.33333333333333331</v>
      </c>
      <c r="N34" s="179">
        <f t="shared" si="43"/>
        <v>0</v>
      </c>
      <c r="O34" s="179">
        <f t="shared" si="43"/>
        <v>0</v>
      </c>
      <c r="P34" s="179">
        <f t="shared" si="43"/>
        <v>0</v>
      </c>
      <c r="Q34" s="179">
        <f t="shared" si="43"/>
        <v>0</v>
      </c>
      <c r="R34" s="179">
        <f t="shared" si="43"/>
        <v>0</v>
      </c>
      <c r="S34" s="179">
        <f t="shared" si="43"/>
        <v>0</v>
      </c>
      <c r="T34" s="179">
        <f t="shared" si="43"/>
        <v>0</v>
      </c>
      <c r="U34" s="179">
        <f t="shared" si="43"/>
        <v>0</v>
      </c>
      <c r="V34" s="179">
        <f t="shared" si="43"/>
        <v>0</v>
      </c>
      <c r="W34" s="179">
        <f t="shared" si="44"/>
        <v>0</v>
      </c>
      <c r="X34" s="179">
        <f t="shared" si="44"/>
        <v>0</v>
      </c>
      <c r="Y34" s="179">
        <f t="shared" si="44"/>
        <v>0</v>
      </c>
      <c r="Z34" s="179">
        <f t="shared" si="44"/>
        <v>0</v>
      </c>
      <c r="AA34" s="213">
        <f t="shared" si="44"/>
        <v>0</v>
      </c>
      <c r="AB34" s="213">
        <f t="shared" si="44"/>
        <v>0</v>
      </c>
      <c r="AC34" s="214">
        <f t="shared" si="44"/>
        <v>0</v>
      </c>
      <c r="AD34" s="215">
        <f t="shared" si="38"/>
        <v>0.33333333333333326</v>
      </c>
      <c r="AE34" s="216">
        <f t="shared" si="41"/>
        <v>0</v>
      </c>
      <c r="AF34" s="217">
        <f t="shared" si="42"/>
        <v>0</v>
      </c>
      <c r="AG34" s="218"/>
      <c r="AH34" s="219"/>
      <c r="AI34" s="220"/>
      <c r="AJ34" s="219"/>
      <c r="AK34" s="220"/>
      <c r="AL34" s="219"/>
      <c r="AM34" s="220"/>
      <c r="AN34" s="221"/>
      <c r="AO34" s="234" t="s">
        <v>651</v>
      </c>
      <c r="AP34" s="237"/>
      <c r="AQ34" s="224"/>
      <c r="AR34" s="225"/>
      <c r="AS34" s="226" t="s">
        <v>464</v>
      </c>
      <c r="AT34" s="226" t="s">
        <v>464</v>
      </c>
      <c r="AU34" s="227"/>
      <c r="AV34" s="228">
        <v>0.33333333333333331</v>
      </c>
      <c r="AW34" s="198">
        <v>0.70833333333333337</v>
      </c>
      <c r="AX34" s="229">
        <f t="shared" si="39"/>
        <v>0.33333333333333337</v>
      </c>
      <c r="AY34" s="230">
        <f t="shared" si="40"/>
        <v>0.33333333333333331</v>
      </c>
      <c r="AZ34" s="201" t="s">
        <v>649</v>
      </c>
      <c r="BA34" s="202" t="s">
        <v>121</v>
      </c>
      <c r="BB34" s="203">
        <v>0.33333333333333331</v>
      </c>
      <c r="BC34" s="201"/>
      <c r="BD34" s="202" t="s">
        <v>464</v>
      </c>
      <c r="BE34" s="203"/>
      <c r="BF34" s="236"/>
      <c r="BG34" s="202" t="s">
        <v>464</v>
      </c>
      <c r="BH34" s="203"/>
      <c r="BI34" s="236"/>
      <c r="BJ34" s="202" t="s">
        <v>464</v>
      </c>
      <c r="BK34" s="203"/>
      <c r="BL34" s="236"/>
      <c r="BM34" s="202" t="s">
        <v>464</v>
      </c>
      <c r="BN34" s="203"/>
      <c r="BO34" s="236"/>
      <c r="BP34" s="202" t="s">
        <v>464</v>
      </c>
      <c r="BQ34" s="203"/>
      <c r="BR34" s="236"/>
      <c r="BS34" s="202" t="s">
        <v>464</v>
      </c>
      <c r="BT34" s="203"/>
      <c r="BU34" s="236"/>
      <c r="BV34" s="202" t="s">
        <v>464</v>
      </c>
      <c r="BW34" s="203"/>
      <c r="BX34" s="236"/>
      <c r="BY34" s="202" t="s">
        <v>464</v>
      </c>
      <c r="BZ34" s="203"/>
      <c r="CA34" s="236"/>
      <c r="CB34" s="202" t="s">
        <v>464</v>
      </c>
      <c r="CC34" s="203"/>
      <c r="CD34" s="142"/>
      <c r="CE34" s="115" t="str">
        <f t="shared" si="7"/>
        <v>PR-233320101</v>
      </c>
      <c r="CF34" s="115">
        <f t="shared" si="8"/>
        <v>0</v>
      </c>
      <c r="CG34" s="115">
        <f t="shared" si="9"/>
        <v>0</v>
      </c>
      <c r="CH34" s="115">
        <f t="shared" si="10"/>
        <v>0</v>
      </c>
      <c r="CI34" s="115">
        <f t="shared" si="11"/>
        <v>0</v>
      </c>
      <c r="CJ34" s="115">
        <f t="shared" si="12"/>
        <v>0</v>
      </c>
      <c r="CK34" s="115">
        <f t="shared" si="13"/>
        <v>0</v>
      </c>
      <c r="CL34" s="115">
        <f t="shared" si="14"/>
        <v>0</v>
      </c>
      <c r="CM34" s="115">
        <f t="shared" si="15"/>
        <v>0</v>
      </c>
      <c r="CN34" s="115">
        <f t="shared" si="16"/>
        <v>0</v>
      </c>
      <c r="CP34" s="115" t="str">
        <f t="shared" si="17"/>
        <v>1.00</v>
      </c>
      <c r="CQ34" s="115" t="str">
        <f t="shared" si="18"/>
        <v/>
      </c>
      <c r="CR34" s="115" t="str">
        <f t="shared" si="19"/>
        <v/>
      </c>
      <c r="CS34" s="115" t="str">
        <f t="shared" si="20"/>
        <v/>
      </c>
      <c r="CT34" s="115" t="str">
        <f t="shared" si="21"/>
        <v/>
      </c>
      <c r="CU34" s="115" t="str">
        <f t="shared" si="22"/>
        <v/>
      </c>
      <c r="CV34" s="115" t="str">
        <f t="shared" si="23"/>
        <v/>
      </c>
      <c r="CW34" s="115" t="str">
        <f t="shared" si="24"/>
        <v/>
      </c>
      <c r="CX34" s="115" t="str">
        <f t="shared" si="25"/>
        <v/>
      </c>
      <c r="CY34" s="115" t="str">
        <f t="shared" si="26"/>
        <v/>
      </c>
      <c r="DA34" s="115">
        <f t="shared" si="27"/>
        <v>0.33333333333333331</v>
      </c>
      <c r="DB34" s="115">
        <f t="shared" si="28"/>
        <v>0</v>
      </c>
      <c r="DC34" s="115">
        <f t="shared" si="29"/>
        <v>0</v>
      </c>
      <c r="DD34" s="115">
        <f t="shared" si="30"/>
        <v>0</v>
      </c>
      <c r="DE34" s="115">
        <f t="shared" si="31"/>
        <v>0</v>
      </c>
      <c r="DF34" s="115">
        <f t="shared" si="32"/>
        <v>0</v>
      </c>
      <c r="DG34" s="115">
        <f t="shared" si="33"/>
        <v>0</v>
      </c>
      <c r="DH34" s="115">
        <f t="shared" si="34"/>
        <v>0</v>
      </c>
      <c r="DI34" s="115">
        <f t="shared" si="35"/>
        <v>0</v>
      </c>
      <c r="DJ34" s="115">
        <f t="shared" si="36"/>
        <v>0</v>
      </c>
    </row>
    <row r="35" spans="2:114">
      <c r="B35" s="167">
        <f t="shared" si="37"/>
        <v>44680</v>
      </c>
      <c r="C35" s="168">
        <f t="shared" si="0"/>
        <v>44680</v>
      </c>
      <c r="D35" s="169" t="str">
        <f t="shared" si="1"/>
        <v>金</v>
      </c>
      <c r="E35" s="170" t="str">
        <f t="shared" si="2"/>
        <v>法定外</v>
      </c>
      <c r="F35" s="207">
        <f t="shared" si="3"/>
        <v>0</v>
      </c>
      <c r="G35" s="208">
        <f t="shared" si="3"/>
        <v>0</v>
      </c>
      <c r="H35" s="173"/>
      <c r="I35" s="209"/>
      <c r="J35" s="210" t="str">
        <f t="shared" si="4"/>
        <v/>
      </c>
      <c r="K35" s="211" t="str">
        <f t="shared" si="4"/>
        <v/>
      </c>
      <c r="L35" s="233" t="str">
        <f t="shared" si="4"/>
        <v/>
      </c>
      <c r="M35" s="178">
        <f t="shared" si="43"/>
        <v>0</v>
      </c>
      <c r="N35" s="179">
        <f t="shared" si="43"/>
        <v>0</v>
      </c>
      <c r="O35" s="179">
        <f t="shared" si="43"/>
        <v>0</v>
      </c>
      <c r="P35" s="179">
        <f t="shared" si="43"/>
        <v>0</v>
      </c>
      <c r="Q35" s="179">
        <f t="shared" si="43"/>
        <v>0</v>
      </c>
      <c r="R35" s="179">
        <f t="shared" si="43"/>
        <v>0</v>
      </c>
      <c r="S35" s="179">
        <f t="shared" si="43"/>
        <v>0</v>
      </c>
      <c r="T35" s="179">
        <f t="shared" si="43"/>
        <v>0</v>
      </c>
      <c r="U35" s="179">
        <f t="shared" si="43"/>
        <v>0</v>
      </c>
      <c r="V35" s="179">
        <f t="shared" si="43"/>
        <v>0</v>
      </c>
      <c r="W35" s="179">
        <f t="shared" si="44"/>
        <v>0</v>
      </c>
      <c r="X35" s="179">
        <f t="shared" si="44"/>
        <v>0</v>
      </c>
      <c r="Y35" s="179">
        <f t="shared" si="44"/>
        <v>0</v>
      </c>
      <c r="Z35" s="179">
        <f t="shared" si="44"/>
        <v>0</v>
      </c>
      <c r="AA35" s="213">
        <f t="shared" si="44"/>
        <v>0</v>
      </c>
      <c r="AB35" s="213">
        <f t="shared" si="44"/>
        <v>0</v>
      </c>
      <c r="AC35" s="214">
        <f t="shared" si="44"/>
        <v>0</v>
      </c>
      <c r="AD35" s="215">
        <f t="shared" si="38"/>
        <v>0</v>
      </c>
      <c r="AE35" s="216">
        <f t="shared" si="41"/>
        <v>0</v>
      </c>
      <c r="AF35" s="217">
        <f t="shared" si="42"/>
        <v>0</v>
      </c>
      <c r="AG35" s="218"/>
      <c r="AH35" s="219"/>
      <c r="AI35" s="220"/>
      <c r="AJ35" s="219"/>
      <c r="AK35" s="220"/>
      <c r="AL35" s="219"/>
      <c r="AM35" s="220"/>
      <c r="AN35" s="221"/>
      <c r="AO35" s="222"/>
      <c r="AP35" s="223"/>
      <c r="AQ35" s="224"/>
      <c r="AR35" s="225"/>
      <c r="AS35" s="226"/>
      <c r="AT35" s="226"/>
      <c r="AU35" s="227"/>
      <c r="AV35" s="228"/>
      <c r="AW35" s="198"/>
      <c r="AX35" s="229">
        <f t="shared" si="39"/>
        <v>0</v>
      </c>
      <c r="AY35" s="230">
        <f t="shared" si="40"/>
        <v>0</v>
      </c>
      <c r="AZ35" s="201"/>
      <c r="BA35" s="202"/>
      <c r="BB35" s="203"/>
      <c r="BC35" s="201"/>
      <c r="BD35" s="202"/>
      <c r="BE35" s="203"/>
      <c r="BF35" s="201"/>
      <c r="BG35" s="202"/>
      <c r="BH35" s="203"/>
      <c r="BI35" s="236"/>
      <c r="BJ35" s="202"/>
      <c r="BK35" s="203"/>
      <c r="BL35" s="236"/>
      <c r="BM35" s="202"/>
      <c r="BN35" s="203"/>
      <c r="BO35" s="236"/>
      <c r="BP35" s="202"/>
      <c r="BQ35" s="203"/>
      <c r="BR35" s="236"/>
      <c r="BS35" s="202"/>
      <c r="BT35" s="203"/>
      <c r="BU35" s="236"/>
      <c r="BV35" s="202"/>
      <c r="BW35" s="203"/>
      <c r="BX35" s="236"/>
      <c r="BY35" s="202"/>
      <c r="BZ35" s="203"/>
      <c r="CA35" s="236"/>
      <c r="CB35" s="202"/>
      <c r="CC35" s="203"/>
      <c r="CD35" s="142"/>
      <c r="CE35" s="115">
        <f t="shared" si="7"/>
        <v>0</v>
      </c>
      <c r="CF35" s="115">
        <f t="shared" si="8"/>
        <v>0</v>
      </c>
      <c r="CG35" s="115">
        <f t="shared" si="9"/>
        <v>0</v>
      </c>
      <c r="CH35" s="115">
        <f t="shared" si="10"/>
        <v>0</v>
      </c>
      <c r="CI35" s="115">
        <f t="shared" si="11"/>
        <v>0</v>
      </c>
      <c r="CJ35" s="115">
        <f t="shared" si="12"/>
        <v>0</v>
      </c>
      <c r="CK35" s="115">
        <f t="shared" si="13"/>
        <v>0</v>
      </c>
      <c r="CL35" s="115">
        <f t="shared" si="14"/>
        <v>0</v>
      </c>
      <c r="CM35" s="115">
        <f t="shared" si="15"/>
        <v>0</v>
      </c>
      <c r="CN35" s="115">
        <f t="shared" si="16"/>
        <v>0</v>
      </c>
      <c r="CP35" s="115">
        <f t="shared" si="17"/>
        <v>0</v>
      </c>
      <c r="CQ35" s="115">
        <f t="shared" si="18"/>
        <v>0</v>
      </c>
      <c r="CR35" s="115">
        <f t="shared" si="19"/>
        <v>0</v>
      </c>
      <c r="CS35" s="115">
        <f t="shared" si="20"/>
        <v>0</v>
      </c>
      <c r="CT35" s="115">
        <f t="shared" si="21"/>
        <v>0</v>
      </c>
      <c r="CU35" s="115">
        <f t="shared" si="22"/>
        <v>0</v>
      </c>
      <c r="CV35" s="115">
        <f t="shared" si="23"/>
        <v>0</v>
      </c>
      <c r="CW35" s="115">
        <f t="shared" si="24"/>
        <v>0</v>
      </c>
      <c r="CX35" s="115">
        <f t="shared" si="25"/>
        <v>0</v>
      </c>
      <c r="CY35" s="115">
        <f t="shared" si="26"/>
        <v>0</v>
      </c>
      <c r="DA35" s="115">
        <f t="shared" si="27"/>
        <v>0</v>
      </c>
      <c r="DB35" s="115">
        <f t="shared" si="28"/>
        <v>0</v>
      </c>
      <c r="DC35" s="115">
        <f t="shared" si="29"/>
        <v>0</v>
      </c>
      <c r="DD35" s="115">
        <f t="shared" si="30"/>
        <v>0</v>
      </c>
      <c r="DE35" s="115">
        <f t="shared" si="31"/>
        <v>0</v>
      </c>
      <c r="DF35" s="115">
        <f t="shared" si="32"/>
        <v>0</v>
      </c>
      <c r="DG35" s="115">
        <f t="shared" si="33"/>
        <v>0</v>
      </c>
      <c r="DH35" s="115">
        <f t="shared" si="34"/>
        <v>0</v>
      </c>
      <c r="DI35" s="115">
        <f t="shared" si="35"/>
        <v>0</v>
      </c>
      <c r="DJ35" s="115">
        <f t="shared" si="36"/>
        <v>0</v>
      </c>
    </row>
    <row r="36" spans="2:114">
      <c r="B36" s="167">
        <f t="shared" si="37"/>
        <v>44681</v>
      </c>
      <c r="C36" s="168">
        <f t="shared" si="0"/>
        <v>44681</v>
      </c>
      <c r="D36" s="169" t="str">
        <f t="shared" si="1"/>
        <v>土</v>
      </c>
      <c r="E36" s="170" t="str">
        <f t="shared" si="2"/>
        <v>法定外</v>
      </c>
      <c r="F36" s="207">
        <f t="shared" si="3"/>
        <v>0</v>
      </c>
      <c r="G36" s="208">
        <f t="shared" si="3"/>
        <v>0</v>
      </c>
      <c r="H36" s="173"/>
      <c r="I36" s="209"/>
      <c r="J36" s="210" t="str">
        <f t="shared" si="4"/>
        <v/>
      </c>
      <c r="K36" s="211" t="str">
        <f t="shared" si="4"/>
        <v/>
      </c>
      <c r="L36" s="233" t="str">
        <f t="shared" si="4"/>
        <v/>
      </c>
      <c r="M36" s="178">
        <f t="shared" si="43"/>
        <v>0</v>
      </c>
      <c r="N36" s="179">
        <f t="shared" si="43"/>
        <v>0</v>
      </c>
      <c r="O36" s="179">
        <f t="shared" si="43"/>
        <v>0</v>
      </c>
      <c r="P36" s="179">
        <f t="shared" si="43"/>
        <v>0</v>
      </c>
      <c r="Q36" s="179">
        <f t="shared" si="43"/>
        <v>0</v>
      </c>
      <c r="R36" s="179">
        <f t="shared" si="43"/>
        <v>0</v>
      </c>
      <c r="S36" s="179">
        <f t="shared" si="43"/>
        <v>0</v>
      </c>
      <c r="T36" s="179">
        <f t="shared" si="43"/>
        <v>0</v>
      </c>
      <c r="U36" s="179">
        <f t="shared" si="43"/>
        <v>0</v>
      </c>
      <c r="V36" s="179">
        <f t="shared" si="43"/>
        <v>0</v>
      </c>
      <c r="W36" s="179">
        <f t="shared" si="44"/>
        <v>0</v>
      </c>
      <c r="X36" s="179">
        <f t="shared" si="44"/>
        <v>0</v>
      </c>
      <c r="Y36" s="179">
        <f t="shared" si="44"/>
        <v>0</v>
      </c>
      <c r="Z36" s="179">
        <f t="shared" si="44"/>
        <v>0</v>
      </c>
      <c r="AA36" s="213">
        <f t="shared" si="44"/>
        <v>0</v>
      </c>
      <c r="AB36" s="213">
        <f t="shared" si="44"/>
        <v>0</v>
      </c>
      <c r="AC36" s="214">
        <f t="shared" si="44"/>
        <v>0</v>
      </c>
      <c r="AD36" s="215">
        <f t="shared" si="38"/>
        <v>0</v>
      </c>
      <c r="AE36" s="216">
        <f t="shared" si="41"/>
        <v>0</v>
      </c>
      <c r="AF36" s="217">
        <f t="shared" si="42"/>
        <v>0</v>
      </c>
      <c r="AG36" s="218"/>
      <c r="AH36" s="219"/>
      <c r="AI36" s="220"/>
      <c r="AJ36" s="219"/>
      <c r="AK36" s="220"/>
      <c r="AL36" s="219"/>
      <c r="AM36" s="220"/>
      <c r="AN36" s="221"/>
      <c r="AO36" s="234"/>
      <c r="AP36" s="237"/>
      <c r="AQ36" s="224"/>
      <c r="AR36" s="225"/>
      <c r="AS36" s="226"/>
      <c r="AT36" s="226"/>
      <c r="AU36" s="227"/>
      <c r="AV36" s="228"/>
      <c r="AW36" s="198"/>
      <c r="AX36" s="229">
        <f t="shared" si="39"/>
        <v>0</v>
      </c>
      <c r="AY36" s="230">
        <f t="shared" si="40"/>
        <v>0</v>
      </c>
      <c r="AZ36" s="201"/>
      <c r="BA36" s="202"/>
      <c r="BB36" s="203"/>
      <c r="BC36" s="236"/>
      <c r="BD36" s="202"/>
      <c r="BE36" s="203"/>
      <c r="BF36" s="236"/>
      <c r="BG36" s="202"/>
      <c r="BH36" s="203"/>
      <c r="BI36" s="201"/>
      <c r="BJ36" s="202"/>
      <c r="BK36" s="203"/>
      <c r="BL36" s="236"/>
      <c r="BM36" s="202"/>
      <c r="BN36" s="203"/>
      <c r="BO36" s="236"/>
      <c r="BP36" s="202"/>
      <c r="BQ36" s="203"/>
      <c r="BR36" s="236"/>
      <c r="BS36" s="202"/>
      <c r="BT36" s="203"/>
      <c r="BU36" s="236"/>
      <c r="BV36" s="202"/>
      <c r="BW36" s="203"/>
      <c r="BX36" s="236"/>
      <c r="BY36" s="202"/>
      <c r="BZ36" s="203"/>
      <c r="CA36" s="236"/>
      <c r="CB36" s="202"/>
      <c r="CC36" s="203"/>
      <c r="CD36" s="142"/>
      <c r="CE36" s="115">
        <f t="shared" si="7"/>
        <v>0</v>
      </c>
      <c r="CF36" s="115">
        <f t="shared" si="8"/>
        <v>0</v>
      </c>
      <c r="CG36" s="115">
        <f t="shared" si="9"/>
        <v>0</v>
      </c>
      <c r="CH36" s="115">
        <f t="shared" si="10"/>
        <v>0</v>
      </c>
      <c r="CI36" s="115">
        <f t="shared" si="11"/>
        <v>0</v>
      </c>
      <c r="CJ36" s="115">
        <f t="shared" si="12"/>
        <v>0</v>
      </c>
      <c r="CK36" s="115">
        <f t="shared" si="13"/>
        <v>0</v>
      </c>
      <c r="CL36" s="115">
        <f t="shared" si="14"/>
        <v>0</v>
      </c>
      <c r="CM36" s="115">
        <f t="shared" si="15"/>
        <v>0</v>
      </c>
      <c r="CN36" s="115">
        <f t="shared" si="16"/>
        <v>0</v>
      </c>
      <c r="CP36" s="115">
        <f t="shared" si="17"/>
        <v>0</v>
      </c>
      <c r="CQ36" s="115">
        <f t="shared" si="18"/>
        <v>0</v>
      </c>
      <c r="CR36" s="115">
        <f t="shared" si="19"/>
        <v>0</v>
      </c>
      <c r="CS36" s="115">
        <f t="shared" si="20"/>
        <v>0</v>
      </c>
      <c r="CT36" s="115">
        <f t="shared" si="21"/>
        <v>0</v>
      </c>
      <c r="CU36" s="115">
        <f t="shared" si="22"/>
        <v>0</v>
      </c>
      <c r="CV36" s="115">
        <f t="shared" si="23"/>
        <v>0</v>
      </c>
      <c r="CW36" s="115">
        <f t="shared" si="24"/>
        <v>0</v>
      </c>
      <c r="CX36" s="115">
        <f t="shared" si="25"/>
        <v>0</v>
      </c>
      <c r="CY36" s="115">
        <f t="shared" si="26"/>
        <v>0</v>
      </c>
      <c r="DA36" s="115">
        <f t="shared" si="27"/>
        <v>0</v>
      </c>
      <c r="DB36" s="115">
        <f t="shared" si="28"/>
        <v>0</v>
      </c>
      <c r="DC36" s="115">
        <f t="shared" si="29"/>
        <v>0</v>
      </c>
      <c r="DD36" s="115">
        <f t="shared" si="30"/>
        <v>0</v>
      </c>
      <c r="DE36" s="115">
        <f t="shared" si="31"/>
        <v>0</v>
      </c>
      <c r="DF36" s="115">
        <f t="shared" si="32"/>
        <v>0</v>
      </c>
      <c r="DG36" s="115">
        <f t="shared" si="33"/>
        <v>0</v>
      </c>
      <c r="DH36" s="115">
        <f t="shared" si="34"/>
        <v>0</v>
      </c>
      <c r="DI36" s="115">
        <f t="shared" si="35"/>
        <v>0</v>
      </c>
      <c r="DJ36" s="115">
        <f t="shared" si="36"/>
        <v>0</v>
      </c>
    </row>
    <row r="37" spans="2:114">
      <c r="B37" s="167">
        <f t="shared" si="37"/>
        <v>44682</v>
      </c>
      <c r="C37" s="168">
        <f t="shared" si="0"/>
        <v>44682</v>
      </c>
      <c r="D37" s="169" t="str">
        <f t="shared" si="1"/>
        <v>日</v>
      </c>
      <c r="E37" s="170" t="str">
        <f t="shared" si="2"/>
        <v>法定</v>
      </c>
      <c r="F37" s="207">
        <f t="shared" si="3"/>
        <v>0</v>
      </c>
      <c r="G37" s="208">
        <f t="shared" si="3"/>
        <v>0</v>
      </c>
      <c r="H37" s="173"/>
      <c r="I37" s="209"/>
      <c r="J37" s="210" t="str">
        <f t="shared" si="4"/>
        <v/>
      </c>
      <c r="K37" s="211" t="str">
        <f t="shared" si="4"/>
        <v/>
      </c>
      <c r="L37" s="233" t="str">
        <f t="shared" si="4"/>
        <v/>
      </c>
      <c r="M37" s="178">
        <f t="shared" si="43"/>
        <v>0</v>
      </c>
      <c r="N37" s="179">
        <f t="shared" si="43"/>
        <v>0</v>
      </c>
      <c r="O37" s="179">
        <f t="shared" si="43"/>
        <v>0</v>
      </c>
      <c r="P37" s="179">
        <f t="shared" si="43"/>
        <v>0</v>
      </c>
      <c r="Q37" s="179">
        <f t="shared" si="43"/>
        <v>0</v>
      </c>
      <c r="R37" s="179">
        <f t="shared" si="43"/>
        <v>0</v>
      </c>
      <c r="S37" s="179">
        <f t="shared" si="43"/>
        <v>0</v>
      </c>
      <c r="T37" s="179">
        <f t="shared" si="43"/>
        <v>0</v>
      </c>
      <c r="U37" s="179">
        <f t="shared" si="43"/>
        <v>0</v>
      </c>
      <c r="V37" s="179">
        <f t="shared" si="43"/>
        <v>0</v>
      </c>
      <c r="W37" s="179">
        <f t="shared" si="44"/>
        <v>0</v>
      </c>
      <c r="X37" s="179">
        <f t="shared" si="44"/>
        <v>0</v>
      </c>
      <c r="Y37" s="179">
        <f t="shared" si="44"/>
        <v>0</v>
      </c>
      <c r="Z37" s="179">
        <f t="shared" si="44"/>
        <v>0</v>
      </c>
      <c r="AA37" s="213">
        <f t="shared" si="44"/>
        <v>0</v>
      </c>
      <c r="AB37" s="213">
        <f t="shared" si="44"/>
        <v>0</v>
      </c>
      <c r="AC37" s="214">
        <f t="shared" si="44"/>
        <v>0</v>
      </c>
      <c r="AD37" s="215">
        <f t="shared" si="38"/>
        <v>0</v>
      </c>
      <c r="AE37" s="216">
        <f t="shared" si="41"/>
        <v>0</v>
      </c>
      <c r="AF37" s="217">
        <f t="shared" si="42"/>
        <v>0</v>
      </c>
      <c r="AG37" s="218"/>
      <c r="AH37" s="219"/>
      <c r="AI37" s="220"/>
      <c r="AJ37" s="219"/>
      <c r="AK37" s="220"/>
      <c r="AL37" s="219"/>
      <c r="AM37" s="220"/>
      <c r="AN37" s="221"/>
      <c r="AO37" s="222"/>
      <c r="AP37" s="238"/>
      <c r="AQ37" s="224"/>
      <c r="AR37" s="225"/>
      <c r="AS37" s="226"/>
      <c r="AT37" s="226"/>
      <c r="AU37" s="227"/>
      <c r="AV37" s="228"/>
      <c r="AW37" s="198"/>
      <c r="AX37" s="229">
        <f t="shared" si="39"/>
        <v>0</v>
      </c>
      <c r="AY37" s="230">
        <f t="shared" si="40"/>
        <v>0</v>
      </c>
      <c r="AZ37" s="201"/>
      <c r="BA37" s="202"/>
      <c r="BB37" s="203"/>
      <c r="BC37" s="201"/>
      <c r="BD37" s="202"/>
      <c r="BE37" s="203"/>
      <c r="BF37" s="236"/>
      <c r="BG37" s="202"/>
      <c r="BH37" s="203"/>
      <c r="BI37" s="236"/>
      <c r="BJ37" s="202"/>
      <c r="BK37" s="203"/>
      <c r="BL37" s="236"/>
      <c r="BM37" s="202"/>
      <c r="BN37" s="203"/>
      <c r="BO37" s="236"/>
      <c r="BP37" s="202"/>
      <c r="BQ37" s="203"/>
      <c r="BR37" s="236"/>
      <c r="BS37" s="202"/>
      <c r="BT37" s="203"/>
      <c r="BU37" s="236"/>
      <c r="BV37" s="202"/>
      <c r="BW37" s="203"/>
      <c r="BX37" s="236"/>
      <c r="BY37" s="202"/>
      <c r="BZ37" s="203"/>
      <c r="CA37" s="236"/>
      <c r="CB37" s="202"/>
      <c r="CC37" s="203"/>
      <c r="CD37" s="142"/>
      <c r="CE37" s="115">
        <f t="shared" si="7"/>
        <v>0</v>
      </c>
      <c r="CF37" s="115">
        <f t="shared" si="8"/>
        <v>0</v>
      </c>
      <c r="CG37" s="115">
        <f t="shared" si="9"/>
        <v>0</v>
      </c>
      <c r="CH37" s="115">
        <f t="shared" si="10"/>
        <v>0</v>
      </c>
      <c r="CI37" s="115">
        <f t="shared" si="11"/>
        <v>0</v>
      </c>
      <c r="CJ37" s="115">
        <f t="shared" si="12"/>
        <v>0</v>
      </c>
      <c r="CK37" s="115">
        <f t="shared" si="13"/>
        <v>0</v>
      </c>
      <c r="CL37" s="115">
        <f t="shared" si="14"/>
        <v>0</v>
      </c>
      <c r="CM37" s="115">
        <f t="shared" si="15"/>
        <v>0</v>
      </c>
      <c r="CN37" s="115">
        <f t="shared" si="16"/>
        <v>0</v>
      </c>
      <c r="CP37" s="115">
        <f t="shared" si="17"/>
        <v>0</v>
      </c>
      <c r="CQ37" s="115">
        <f t="shared" si="18"/>
        <v>0</v>
      </c>
      <c r="CR37" s="115">
        <f t="shared" si="19"/>
        <v>0</v>
      </c>
      <c r="CS37" s="115">
        <f t="shared" si="20"/>
        <v>0</v>
      </c>
      <c r="CT37" s="115">
        <f t="shared" si="21"/>
        <v>0</v>
      </c>
      <c r="CU37" s="115">
        <f t="shared" si="22"/>
        <v>0</v>
      </c>
      <c r="CV37" s="115">
        <f t="shared" si="23"/>
        <v>0</v>
      </c>
      <c r="CW37" s="115">
        <f t="shared" si="24"/>
        <v>0</v>
      </c>
      <c r="CX37" s="115">
        <f t="shared" si="25"/>
        <v>0</v>
      </c>
      <c r="CY37" s="115">
        <f t="shared" si="26"/>
        <v>0</v>
      </c>
      <c r="DA37" s="115">
        <f t="shared" si="27"/>
        <v>0</v>
      </c>
      <c r="DB37" s="115">
        <f t="shared" si="28"/>
        <v>0</v>
      </c>
      <c r="DC37" s="115">
        <f t="shared" si="29"/>
        <v>0</v>
      </c>
      <c r="DD37" s="115">
        <f t="shared" si="30"/>
        <v>0</v>
      </c>
      <c r="DE37" s="115">
        <f t="shared" si="31"/>
        <v>0</v>
      </c>
      <c r="DF37" s="115">
        <f t="shared" si="32"/>
        <v>0</v>
      </c>
      <c r="DG37" s="115">
        <f t="shared" si="33"/>
        <v>0</v>
      </c>
      <c r="DH37" s="115">
        <f t="shared" si="34"/>
        <v>0</v>
      </c>
      <c r="DI37" s="115">
        <f t="shared" si="35"/>
        <v>0</v>
      </c>
      <c r="DJ37" s="115">
        <f t="shared" si="36"/>
        <v>0</v>
      </c>
    </row>
    <row r="38" spans="2:114">
      <c r="B38" s="167">
        <f t="shared" si="37"/>
        <v>44683</v>
      </c>
      <c r="C38" s="168">
        <f t="shared" si="0"/>
        <v>44683</v>
      </c>
      <c r="D38" s="169" t="str">
        <f t="shared" si="1"/>
        <v>月</v>
      </c>
      <c r="E38" s="170" t="str">
        <f t="shared" si="2"/>
        <v/>
      </c>
      <c r="F38" s="207">
        <f t="shared" si="3"/>
        <v>0</v>
      </c>
      <c r="G38" s="208">
        <f t="shared" si="3"/>
        <v>0</v>
      </c>
      <c r="H38" s="173"/>
      <c r="I38" s="209"/>
      <c r="J38" s="210" t="str">
        <f t="shared" si="4"/>
        <v/>
      </c>
      <c r="K38" s="211" t="str">
        <f t="shared" si="4"/>
        <v/>
      </c>
      <c r="L38" s="233" t="str">
        <f t="shared" si="4"/>
        <v/>
      </c>
      <c r="M38" s="178">
        <f t="shared" si="43"/>
        <v>0</v>
      </c>
      <c r="N38" s="179">
        <f t="shared" si="43"/>
        <v>0</v>
      </c>
      <c r="O38" s="179">
        <f t="shared" si="43"/>
        <v>0</v>
      </c>
      <c r="P38" s="179">
        <f t="shared" si="43"/>
        <v>0</v>
      </c>
      <c r="Q38" s="179">
        <f t="shared" si="43"/>
        <v>0</v>
      </c>
      <c r="R38" s="179">
        <f t="shared" si="43"/>
        <v>0</v>
      </c>
      <c r="S38" s="179">
        <f t="shared" si="43"/>
        <v>0</v>
      </c>
      <c r="T38" s="179">
        <f t="shared" si="43"/>
        <v>0</v>
      </c>
      <c r="U38" s="179">
        <f t="shared" si="43"/>
        <v>0</v>
      </c>
      <c r="V38" s="179">
        <f t="shared" si="43"/>
        <v>0</v>
      </c>
      <c r="W38" s="179">
        <f t="shared" si="44"/>
        <v>0</v>
      </c>
      <c r="X38" s="179">
        <f t="shared" si="44"/>
        <v>0</v>
      </c>
      <c r="Y38" s="179">
        <f t="shared" si="44"/>
        <v>0</v>
      </c>
      <c r="Z38" s="179">
        <f t="shared" si="44"/>
        <v>0</v>
      </c>
      <c r="AA38" s="213">
        <f t="shared" si="44"/>
        <v>0</v>
      </c>
      <c r="AB38" s="213">
        <f t="shared" si="44"/>
        <v>0</v>
      </c>
      <c r="AC38" s="214">
        <f t="shared" si="44"/>
        <v>0</v>
      </c>
      <c r="AD38" s="215">
        <f t="shared" si="38"/>
        <v>0</v>
      </c>
      <c r="AE38" s="216">
        <f t="shared" si="41"/>
        <v>0</v>
      </c>
      <c r="AF38" s="217">
        <f t="shared" si="42"/>
        <v>0</v>
      </c>
      <c r="AG38" s="218"/>
      <c r="AH38" s="219"/>
      <c r="AI38" s="220"/>
      <c r="AJ38" s="219"/>
      <c r="AK38" s="220"/>
      <c r="AL38" s="219"/>
      <c r="AM38" s="220"/>
      <c r="AN38" s="221"/>
      <c r="AO38" s="222"/>
      <c r="AP38" s="238"/>
      <c r="AQ38" s="224"/>
      <c r="AR38" s="225"/>
      <c r="AS38" s="226"/>
      <c r="AT38" s="226"/>
      <c r="AU38" s="227"/>
      <c r="AV38" s="239"/>
      <c r="AW38" s="240"/>
      <c r="AX38" s="229">
        <f t="shared" si="39"/>
        <v>0</v>
      </c>
      <c r="AY38" s="230">
        <f t="shared" si="40"/>
        <v>0</v>
      </c>
      <c r="AZ38" s="201"/>
      <c r="BA38" s="202"/>
      <c r="BB38" s="203"/>
      <c r="BC38" s="236"/>
      <c r="BD38" s="202"/>
      <c r="BE38" s="203"/>
      <c r="BF38" s="236"/>
      <c r="BG38" s="202"/>
      <c r="BH38" s="203"/>
      <c r="BI38" s="236"/>
      <c r="BJ38" s="202"/>
      <c r="BK38" s="203"/>
      <c r="BL38" s="236"/>
      <c r="BM38" s="202"/>
      <c r="BN38" s="203"/>
      <c r="BO38" s="236"/>
      <c r="BP38" s="202"/>
      <c r="BQ38" s="203"/>
      <c r="BR38" s="236"/>
      <c r="BS38" s="202"/>
      <c r="BT38" s="203"/>
      <c r="BU38" s="236"/>
      <c r="BV38" s="202"/>
      <c r="BW38" s="203"/>
      <c r="BX38" s="236"/>
      <c r="BY38" s="202"/>
      <c r="BZ38" s="203"/>
      <c r="CA38" s="236"/>
      <c r="CB38" s="202"/>
      <c r="CC38" s="203"/>
      <c r="CD38" s="142"/>
      <c r="CE38" s="115">
        <f t="shared" si="7"/>
        <v>0</v>
      </c>
      <c r="CF38" s="115">
        <f t="shared" si="8"/>
        <v>0</v>
      </c>
      <c r="CG38" s="115">
        <f t="shared" si="9"/>
        <v>0</v>
      </c>
      <c r="CH38" s="115">
        <f t="shared" si="10"/>
        <v>0</v>
      </c>
      <c r="CI38" s="115">
        <f t="shared" si="11"/>
        <v>0</v>
      </c>
      <c r="CJ38" s="115">
        <f t="shared" si="12"/>
        <v>0</v>
      </c>
      <c r="CK38" s="115">
        <f t="shared" si="13"/>
        <v>0</v>
      </c>
      <c r="CL38" s="115">
        <f t="shared" si="14"/>
        <v>0</v>
      </c>
      <c r="CM38" s="115">
        <f t="shared" si="15"/>
        <v>0</v>
      </c>
      <c r="CN38" s="115">
        <f t="shared" si="16"/>
        <v>0</v>
      </c>
      <c r="CP38" s="115">
        <f t="shared" si="17"/>
        <v>0</v>
      </c>
      <c r="CQ38" s="115">
        <f t="shared" si="18"/>
        <v>0</v>
      </c>
      <c r="CR38" s="115">
        <f t="shared" si="19"/>
        <v>0</v>
      </c>
      <c r="CS38" s="115">
        <f t="shared" si="20"/>
        <v>0</v>
      </c>
      <c r="CT38" s="115">
        <f t="shared" si="21"/>
        <v>0</v>
      </c>
      <c r="CU38" s="115">
        <f t="shared" si="22"/>
        <v>0</v>
      </c>
      <c r="CV38" s="115">
        <f t="shared" si="23"/>
        <v>0</v>
      </c>
      <c r="CW38" s="115">
        <f t="shared" si="24"/>
        <v>0</v>
      </c>
      <c r="CX38" s="115">
        <f t="shared" si="25"/>
        <v>0</v>
      </c>
      <c r="CY38" s="115">
        <f t="shared" si="26"/>
        <v>0</v>
      </c>
      <c r="DA38" s="115">
        <f t="shared" si="27"/>
        <v>0</v>
      </c>
      <c r="DB38" s="115">
        <f t="shared" si="28"/>
        <v>0</v>
      </c>
      <c r="DC38" s="115">
        <f t="shared" si="29"/>
        <v>0</v>
      </c>
      <c r="DD38" s="115">
        <f t="shared" si="30"/>
        <v>0</v>
      </c>
      <c r="DE38" s="115">
        <f t="shared" si="31"/>
        <v>0</v>
      </c>
      <c r="DF38" s="115">
        <f t="shared" si="32"/>
        <v>0</v>
      </c>
      <c r="DG38" s="115">
        <f t="shared" si="33"/>
        <v>0</v>
      </c>
      <c r="DH38" s="115">
        <f t="shared" si="34"/>
        <v>0</v>
      </c>
      <c r="DI38" s="115">
        <f t="shared" si="35"/>
        <v>0</v>
      </c>
      <c r="DJ38" s="115">
        <f t="shared" si="36"/>
        <v>0</v>
      </c>
    </row>
    <row r="39" spans="2:114">
      <c r="B39" s="167">
        <f t="shared" si="37"/>
        <v>44684</v>
      </c>
      <c r="C39" s="168">
        <f t="shared" si="0"/>
        <v>44684</v>
      </c>
      <c r="D39" s="169" t="str">
        <f t="shared" si="1"/>
        <v>火</v>
      </c>
      <c r="E39" s="170" t="str">
        <f t="shared" si="2"/>
        <v>法定外</v>
      </c>
      <c r="F39" s="207">
        <f t="shared" si="3"/>
        <v>0</v>
      </c>
      <c r="G39" s="208">
        <f t="shared" si="3"/>
        <v>0</v>
      </c>
      <c r="H39" s="173"/>
      <c r="I39" s="209"/>
      <c r="J39" s="210" t="str">
        <f t="shared" si="4"/>
        <v/>
      </c>
      <c r="K39" s="211" t="str">
        <f t="shared" si="4"/>
        <v/>
      </c>
      <c r="L39" s="233" t="str">
        <f t="shared" si="4"/>
        <v/>
      </c>
      <c r="M39" s="178">
        <f t="shared" ref="M39:AB45" si="45">SUMIF($CP39:$CY39,M$6,$DA39:$DJ39)</f>
        <v>0</v>
      </c>
      <c r="N39" s="179">
        <f t="shared" si="45"/>
        <v>0</v>
      </c>
      <c r="O39" s="179">
        <f t="shared" si="45"/>
        <v>0</v>
      </c>
      <c r="P39" s="179">
        <f t="shared" si="45"/>
        <v>0</v>
      </c>
      <c r="Q39" s="179">
        <f t="shared" si="45"/>
        <v>0</v>
      </c>
      <c r="R39" s="179">
        <f t="shared" si="45"/>
        <v>0</v>
      </c>
      <c r="S39" s="179">
        <f t="shared" si="45"/>
        <v>0</v>
      </c>
      <c r="T39" s="179">
        <f t="shared" si="45"/>
        <v>0</v>
      </c>
      <c r="U39" s="179">
        <f t="shared" si="45"/>
        <v>0</v>
      </c>
      <c r="V39" s="179">
        <f t="shared" si="45"/>
        <v>0</v>
      </c>
      <c r="W39" s="179">
        <f t="shared" si="45"/>
        <v>0</v>
      </c>
      <c r="X39" s="179">
        <f t="shared" si="45"/>
        <v>0</v>
      </c>
      <c r="Y39" s="179">
        <f t="shared" si="45"/>
        <v>0</v>
      </c>
      <c r="Z39" s="179">
        <f t="shared" si="45"/>
        <v>0</v>
      </c>
      <c r="AA39" s="213">
        <f t="shared" si="45"/>
        <v>0</v>
      </c>
      <c r="AB39" s="213">
        <f t="shared" si="45"/>
        <v>0</v>
      </c>
      <c r="AC39" s="214">
        <f t="shared" ref="AC39:AC45" si="46">SUMIF($CP39:$CY39,AC$6,$DA39:$DJ39)</f>
        <v>0</v>
      </c>
      <c r="AD39" s="215">
        <f t="shared" si="38"/>
        <v>0</v>
      </c>
      <c r="AE39" s="216">
        <f t="shared" si="41"/>
        <v>0</v>
      </c>
      <c r="AF39" s="217">
        <f t="shared" si="42"/>
        <v>0</v>
      </c>
      <c r="AG39" s="218"/>
      <c r="AH39" s="219"/>
      <c r="AI39" s="220"/>
      <c r="AJ39" s="219"/>
      <c r="AK39" s="220"/>
      <c r="AL39" s="219"/>
      <c r="AM39" s="220"/>
      <c r="AN39" s="221"/>
      <c r="AO39" s="222"/>
      <c r="AP39" s="238"/>
      <c r="AQ39" s="224"/>
      <c r="AR39" s="225"/>
      <c r="AS39" s="226"/>
      <c r="AT39" s="226"/>
      <c r="AU39" s="227"/>
      <c r="AV39" s="239"/>
      <c r="AW39" s="240"/>
      <c r="AX39" s="229">
        <f t="shared" si="39"/>
        <v>0</v>
      </c>
      <c r="AY39" s="230">
        <f t="shared" si="40"/>
        <v>0</v>
      </c>
      <c r="AZ39" s="201"/>
      <c r="BA39" s="202"/>
      <c r="BB39" s="203"/>
      <c r="BC39" s="201"/>
      <c r="BD39" s="202"/>
      <c r="BE39" s="203"/>
      <c r="BF39" s="236"/>
      <c r="BG39" s="202"/>
      <c r="BH39" s="203"/>
      <c r="BI39" s="236"/>
      <c r="BJ39" s="202"/>
      <c r="BK39" s="203"/>
      <c r="BL39" s="236"/>
      <c r="BM39" s="202"/>
      <c r="BN39" s="203"/>
      <c r="BO39" s="236"/>
      <c r="BP39" s="202"/>
      <c r="BQ39" s="203"/>
      <c r="BR39" s="236"/>
      <c r="BS39" s="202"/>
      <c r="BT39" s="203"/>
      <c r="BU39" s="236"/>
      <c r="BV39" s="202"/>
      <c r="BW39" s="203"/>
      <c r="BX39" s="236"/>
      <c r="BY39" s="202"/>
      <c r="BZ39" s="203"/>
      <c r="CA39" s="236"/>
      <c r="CB39" s="202"/>
      <c r="CC39" s="203"/>
      <c r="CD39" s="142"/>
      <c r="CE39" s="115">
        <f t="shared" si="7"/>
        <v>0</v>
      </c>
      <c r="CF39" s="115">
        <f t="shared" si="8"/>
        <v>0</v>
      </c>
      <c r="CG39" s="115">
        <f t="shared" si="9"/>
        <v>0</v>
      </c>
      <c r="CH39" s="115">
        <f t="shared" si="10"/>
        <v>0</v>
      </c>
      <c r="CI39" s="115">
        <f t="shared" si="11"/>
        <v>0</v>
      </c>
      <c r="CJ39" s="115">
        <f t="shared" si="12"/>
        <v>0</v>
      </c>
      <c r="CK39" s="115">
        <f t="shared" si="13"/>
        <v>0</v>
      </c>
      <c r="CL39" s="115">
        <f t="shared" si="14"/>
        <v>0</v>
      </c>
      <c r="CM39" s="115">
        <f t="shared" si="15"/>
        <v>0</v>
      </c>
      <c r="CN39" s="115">
        <f t="shared" si="16"/>
        <v>0</v>
      </c>
      <c r="CP39" s="115">
        <f t="shared" si="17"/>
        <v>0</v>
      </c>
      <c r="CQ39" s="115">
        <f t="shared" si="18"/>
        <v>0</v>
      </c>
      <c r="CR39" s="115">
        <f t="shared" si="19"/>
        <v>0</v>
      </c>
      <c r="CS39" s="115">
        <f t="shared" si="20"/>
        <v>0</v>
      </c>
      <c r="CT39" s="115">
        <f t="shared" si="21"/>
        <v>0</v>
      </c>
      <c r="CU39" s="115">
        <f t="shared" si="22"/>
        <v>0</v>
      </c>
      <c r="CV39" s="115">
        <f t="shared" si="23"/>
        <v>0</v>
      </c>
      <c r="CW39" s="115">
        <f t="shared" si="24"/>
        <v>0</v>
      </c>
      <c r="CX39" s="115">
        <f t="shared" si="25"/>
        <v>0</v>
      </c>
      <c r="CY39" s="115">
        <f t="shared" si="26"/>
        <v>0</v>
      </c>
      <c r="DA39" s="115">
        <f t="shared" si="27"/>
        <v>0</v>
      </c>
      <c r="DB39" s="115">
        <f t="shared" si="28"/>
        <v>0</v>
      </c>
      <c r="DC39" s="115">
        <f t="shared" si="29"/>
        <v>0</v>
      </c>
      <c r="DD39" s="115">
        <f t="shared" si="30"/>
        <v>0</v>
      </c>
      <c r="DE39" s="115">
        <f t="shared" si="31"/>
        <v>0</v>
      </c>
      <c r="DF39" s="115">
        <f t="shared" si="32"/>
        <v>0</v>
      </c>
      <c r="DG39" s="115">
        <f t="shared" si="33"/>
        <v>0</v>
      </c>
      <c r="DH39" s="115">
        <f t="shared" si="34"/>
        <v>0</v>
      </c>
      <c r="DI39" s="115">
        <f t="shared" si="35"/>
        <v>0</v>
      </c>
      <c r="DJ39" s="115">
        <f t="shared" si="36"/>
        <v>0</v>
      </c>
    </row>
    <row r="40" spans="2:114">
      <c r="B40" s="167">
        <f t="shared" si="37"/>
        <v>44685</v>
      </c>
      <c r="C40" s="168">
        <f t="shared" si="0"/>
        <v>44685</v>
      </c>
      <c r="D40" s="169" t="str">
        <f t="shared" si="1"/>
        <v>水</v>
      </c>
      <c r="E40" s="170" t="str">
        <f t="shared" si="2"/>
        <v>法定外</v>
      </c>
      <c r="F40" s="207">
        <f t="shared" si="3"/>
        <v>0</v>
      </c>
      <c r="G40" s="208">
        <f t="shared" si="3"/>
        <v>0</v>
      </c>
      <c r="H40" s="173"/>
      <c r="I40" s="209"/>
      <c r="J40" s="210" t="str">
        <f t="shared" si="4"/>
        <v/>
      </c>
      <c r="K40" s="211" t="str">
        <f t="shared" si="4"/>
        <v/>
      </c>
      <c r="L40" s="233" t="str">
        <f t="shared" si="4"/>
        <v/>
      </c>
      <c r="M40" s="178">
        <f t="shared" si="45"/>
        <v>0</v>
      </c>
      <c r="N40" s="179">
        <f t="shared" si="45"/>
        <v>0</v>
      </c>
      <c r="O40" s="179">
        <f t="shared" si="45"/>
        <v>0</v>
      </c>
      <c r="P40" s="179">
        <f t="shared" si="45"/>
        <v>0</v>
      </c>
      <c r="Q40" s="179">
        <f t="shared" si="45"/>
        <v>0</v>
      </c>
      <c r="R40" s="179">
        <f t="shared" si="45"/>
        <v>0</v>
      </c>
      <c r="S40" s="179">
        <f t="shared" si="45"/>
        <v>0</v>
      </c>
      <c r="T40" s="179">
        <f t="shared" si="45"/>
        <v>0</v>
      </c>
      <c r="U40" s="179">
        <f t="shared" si="45"/>
        <v>0</v>
      </c>
      <c r="V40" s="179">
        <f t="shared" si="45"/>
        <v>0</v>
      </c>
      <c r="W40" s="179">
        <f t="shared" si="45"/>
        <v>0</v>
      </c>
      <c r="X40" s="179">
        <f t="shared" si="45"/>
        <v>0</v>
      </c>
      <c r="Y40" s="179">
        <f t="shared" si="45"/>
        <v>0</v>
      </c>
      <c r="Z40" s="179">
        <f t="shared" si="45"/>
        <v>0</v>
      </c>
      <c r="AA40" s="213">
        <f t="shared" si="45"/>
        <v>0</v>
      </c>
      <c r="AB40" s="213">
        <f t="shared" si="45"/>
        <v>0</v>
      </c>
      <c r="AC40" s="214">
        <f t="shared" si="46"/>
        <v>0</v>
      </c>
      <c r="AD40" s="215">
        <f t="shared" si="38"/>
        <v>0</v>
      </c>
      <c r="AE40" s="216">
        <f t="shared" si="41"/>
        <v>0</v>
      </c>
      <c r="AF40" s="217">
        <f t="shared" si="42"/>
        <v>0</v>
      </c>
      <c r="AG40" s="218"/>
      <c r="AH40" s="219"/>
      <c r="AI40" s="220"/>
      <c r="AJ40" s="219"/>
      <c r="AK40" s="220"/>
      <c r="AL40" s="219"/>
      <c r="AM40" s="220"/>
      <c r="AN40" s="221"/>
      <c r="AO40" s="222"/>
      <c r="AP40" s="238"/>
      <c r="AQ40" s="224"/>
      <c r="AR40" s="225"/>
      <c r="AS40" s="226"/>
      <c r="AT40" s="226"/>
      <c r="AU40" s="227"/>
      <c r="AV40" s="239"/>
      <c r="AW40" s="240"/>
      <c r="AX40" s="229">
        <f t="shared" si="39"/>
        <v>0</v>
      </c>
      <c r="AY40" s="230">
        <f t="shared" si="40"/>
        <v>0</v>
      </c>
      <c r="AZ40" s="201"/>
      <c r="BA40" s="202"/>
      <c r="BB40" s="203"/>
      <c r="BC40" s="201"/>
      <c r="BD40" s="202"/>
      <c r="BE40" s="203"/>
      <c r="BF40" s="236"/>
      <c r="BG40" s="202"/>
      <c r="BH40" s="203"/>
      <c r="BI40" s="236"/>
      <c r="BJ40" s="202"/>
      <c r="BK40" s="203"/>
      <c r="BL40" s="236"/>
      <c r="BM40" s="202"/>
      <c r="BN40" s="203"/>
      <c r="BO40" s="236"/>
      <c r="BP40" s="202"/>
      <c r="BQ40" s="203"/>
      <c r="BR40" s="236"/>
      <c r="BS40" s="202"/>
      <c r="BT40" s="203"/>
      <c r="BU40" s="236"/>
      <c r="BV40" s="202"/>
      <c r="BW40" s="203"/>
      <c r="BX40" s="236"/>
      <c r="BY40" s="202"/>
      <c r="BZ40" s="203"/>
      <c r="CA40" s="236"/>
      <c r="CB40" s="202"/>
      <c r="CC40" s="203"/>
      <c r="CD40" s="142"/>
      <c r="CE40" s="115">
        <f t="shared" si="7"/>
        <v>0</v>
      </c>
      <c r="CF40" s="115">
        <f t="shared" si="8"/>
        <v>0</v>
      </c>
      <c r="CG40" s="115">
        <f t="shared" si="9"/>
        <v>0</v>
      </c>
      <c r="CH40" s="115">
        <f t="shared" si="10"/>
        <v>0</v>
      </c>
      <c r="CI40" s="115">
        <f t="shared" si="11"/>
        <v>0</v>
      </c>
      <c r="CJ40" s="115">
        <f t="shared" si="12"/>
        <v>0</v>
      </c>
      <c r="CK40" s="115">
        <f t="shared" si="13"/>
        <v>0</v>
      </c>
      <c r="CL40" s="115">
        <f t="shared" si="14"/>
        <v>0</v>
      </c>
      <c r="CM40" s="115">
        <f t="shared" si="15"/>
        <v>0</v>
      </c>
      <c r="CN40" s="115">
        <f t="shared" si="16"/>
        <v>0</v>
      </c>
      <c r="CP40" s="115">
        <f t="shared" si="17"/>
        <v>0</v>
      </c>
      <c r="CQ40" s="115">
        <f t="shared" si="18"/>
        <v>0</v>
      </c>
      <c r="CR40" s="115">
        <f t="shared" si="19"/>
        <v>0</v>
      </c>
      <c r="CS40" s="115">
        <f t="shared" si="20"/>
        <v>0</v>
      </c>
      <c r="CT40" s="115">
        <f t="shared" si="21"/>
        <v>0</v>
      </c>
      <c r="CU40" s="115">
        <f t="shared" si="22"/>
        <v>0</v>
      </c>
      <c r="CV40" s="115">
        <f t="shared" si="23"/>
        <v>0</v>
      </c>
      <c r="CW40" s="115">
        <f t="shared" si="24"/>
        <v>0</v>
      </c>
      <c r="CX40" s="115">
        <f t="shared" si="25"/>
        <v>0</v>
      </c>
      <c r="CY40" s="115">
        <f t="shared" si="26"/>
        <v>0</v>
      </c>
      <c r="DA40" s="115">
        <f t="shared" si="27"/>
        <v>0</v>
      </c>
      <c r="DB40" s="115">
        <f t="shared" si="28"/>
        <v>0</v>
      </c>
      <c r="DC40" s="115">
        <f t="shared" si="29"/>
        <v>0</v>
      </c>
      <c r="DD40" s="115">
        <f t="shared" si="30"/>
        <v>0</v>
      </c>
      <c r="DE40" s="115">
        <f t="shared" si="31"/>
        <v>0</v>
      </c>
      <c r="DF40" s="115">
        <f t="shared" si="32"/>
        <v>0</v>
      </c>
      <c r="DG40" s="115">
        <f t="shared" si="33"/>
        <v>0</v>
      </c>
      <c r="DH40" s="115">
        <f t="shared" si="34"/>
        <v>0</v>
      </c>
      <c r="DI40" s="115">
        <f t="shared" si="35"/>
        <v>0</v>
      </c>
      <c r="DJ40" s="115">
        <f t="shared" si="36"/>
        <v>0</v>
      </c>
    </row>
    <row r="41" spans="2:114">
      <c r="B41" s="167">
        <f t="shared" si="37"/>
        <v>44686</v>
      </c>
      <c r="C41" s="168">
        <f t="shared" si="0"/>
        <v>44686</v>
      </c>
      <c r="D41" s="169" t="str">
        <f t="shared" si="1"/>
        <v>木</v>
      </c>
      <c r="E41" s="170" t="str">
        <f t="shared" si="2"/>
        <v>法定外</v>
      </c>
      <c r="F41" s="207">
        <f t="shared" si="3"/>
        <v>0</v>
      </c>
      <c r="G41" s="208">
        <f t="shared" si="3"/>
        <v>0</v>
      </c>
      <c r="H41" s="173"/>
      <c r="I41" s="209"/>
      <c r="J41" s="210" t="str">
        <f t="shared" si="4"/>
        <v/>
      </c>
      <c r="K41" s="211" t="str">
        <f t="shared" si="4"/>
        <v/>
      </c>
      <c r="L41" s="233" t="str">
        <f t="shared" si="4"/>
        <v/>
      </c>
      <c r="M41" s="178">
        <f t="shared" si="45"/>
        <v>0</v>
      </c>
      <c r="N41" s="179">
        <f t="shared" si="45"/>
        <v>0</v>
      </c>
      <c r="O41" s="179">
        <f t="shared" si="45"/>
        <v>0</v>
      </c>
      <c r="P41" s="179">
        <f t="shared" si="45"/>
        <v>0</v>
      </c>
      <c r="Q41" s="179">
        <f t="shared" si="45"/>
        <v>0</v>
      </c>
      <c r="R41" s="179">
        <f t="shared" si="45"/>
        <v>0</v>
      </c>
      <c r="S41" s="179">
        <f t="shared" si="45"/>
        <v>0</v>
      </c>
      <c r="T41" s="179">
        <f t="shared" si="45"/>
        <v>0</v>
      </c>
      <c r="U41" s="179">
        <f t="shared" si="45"/>
        <v>0</v>
      </c>
      <c r="V41" s="179">
        <f t="shared" si="45"/>
        <v>0</v>
      </c>
      <c r="W41" s="179">
        <f t="shared" si="45"/>
        <v>0</v>
      </c>
      <c r="X41" s="179">
        <f t="shared" si="45"/>
        <v>0</v>
      </c>
      <c r="Y41" s="179">
        <f t="shared" si="45"/>
        <v>0</v>
      </c>
      <c r="Z41" s="179">
        <f t="shared" si="45"/>
        <v>0</v>
      </c>
      <c r="AA41" s="213">
        <f t="shared" si="45"/>
        <v>0</v>
      </c>
      <c r="AB41" s="213">
        <f t="shared" si="45"/>
        <v>0</v>
      </c>
      <c r="AC41" s="214">
        <f t="shared" si="46"/>
        <v>0</v>
      </c>
      <c r="AD41" s="215">
        <f t="shared" si="38"/>
        <v>0</v>
      </c>
      <c r="AE41" s="216">
        <f t="shared" si="41"/>
        <v>0</v>
      </c>
      <c r="AF41" s="217">
        <f t="shared" si="42"/>
        <v>0</v>
      </c>
      <c r="AG41" s="218"/>
      <c r="AH41" s="219"/>
      <c r="AI41" s="220"/>
      <c r="AJ41" s="219"/>
      <c r="AK41" s="220"/>
      <c r="AL41" s="219"/>
      <c r="AM41" s="220"/>
      <c r="AN41" s="221"/>
      <c r="AO41" s="222"/>
      <c r="AP41" s="238"/>
      <c r="AQ41" s="224"/>
      <c r="AR41" s="225"/>
      <c r="AS41" s="226"/>
      <c r="AT41" s="226"/>
      <c r="AU41" s="227"/>
      <c r="AV41" s="239"/>
      <c r="AW41" s="240"/>
      <c r="AX41" s="229">
        <f t="shared" si="39"/>
        <v>0</v>
      </c>
      <c r="AY41" s="230">
        <f t="shared" si="40"/>
        <v>0</v>
      </c>
      <c r="AZ41" s="201"/>
      <c r="BA41" s="202"/>
      <c r="BB41" s="203"/>
      <c r="BC41" s="236"/>
      <c r="BD41" s="202"/>
      <c r="BE41" s="203"/>
      <c r="BF41" s="236"/>
      <c r="BG41" s="202"/>
      <c r="BH41" s="203"/>
      <c r="BI41" s="236"/>
      <c r="BJ41" s="202"/>
      <c r="BK41" s="203"/>
      <c r="BL41" s="236"/>
      <c r="BM41" s="202"/>
      <c r="BN41" s="203"/>
      <c r="BO41" s="236"/>
      <c r="BP41" s="202"/>
      <c r="BQ41" s="203"/>
      <c r="BR41" s="236"/>
      <c r="BS41" s="202"/>
      <c r="BT41" s="203"/>
      <c r="BU41" s="236"/>
      <c r="BV41" s="202"/>
      <c r="BW41" s="203"/>
      <c r="BX41" s="236"/>
      <c r="BY41" s="202"/>
      <c r="BZ41" s="203"/>
      <c r="CA41" s="236"/>
      <c r="CB41" s="202"/>
      <c r="CC41" s="203"/>
      <c r="CD41" s="142"/>
      <c r="CE41" s="115">
        <f t="shared" si="7"/>
        <v>0</v>
      </c>
      <c r="CF41" s="115">
        <f t="shared" si="8"/>
        <v>0</v>
      </c>
      <c r="CG41" s="115">
        <f t="shared" si="9"/>
        <v>0</v>
      </c>
      <c r="CH41" s="115">
        <f t="shared" si="10"/>
        <v>0</v>
      </c>
      <c r="CI41" s="115">
        <f t="shared" si="11"/>
        <v>0</v>
      </c>
      <c r="CJ41" s="115">
        <f t="shared" si="12"/>
        <v>0</v>
      </c>
      <c r="CK41" s="115">
        <f t="shared" si="13"/>
        <v>0</v>
      </c>
      <c r="CL41" s="115">
        <f t="shared" si="14"/>
        <v>0</v>
      </c>
      <c r="CM41" s="115">
        <f t="shared" si="15"/>
        <v>0</v>
      </c>
      <c r="CN41" s="115">
        <f t="shared" si="16"/>
        <v>0</v>
      </c>
      <c r="CP41" s="115">
        <f t="shared" si="17"/>
        <v>0</v>
      </c>
      <c r="CQ41" s="115">
        <f t="shared" si="18"/>
        <v>0</v>
      </c>
      <c r="CR41" s="115">
        <f t="shared" si="19"/>
        <v>0</v>
      </c>
      <c r="CS41" s="115">
        <f t="shared" si="20"/>
        <v>0</v>
      </c>
      <c r="CT41" s="115">
        <f t="shared" si="21"/>
        <v>0</v>
      </c>
      <c r="CU41" s="115">
        <f t="shared" si="22"/>
        <v>0</v>
      </c>
      <c r="CV41" s="115">
        <f t="shared" si="23"/>
        <v>0</v>
      </c>
      <c r="CW41" s="115">
        <f t="shared" si="24"/>
        <v>0</v>
      </c>
      <c r="CX41" s="115">
        <f t="shared" si="25"/>
        <v>0</v>
      </c>
      <c r="CY41" s="115">
        <f t="shared" si="26"/>
        <v>0</v>
      </c>
      <c r="DA41" s="115">
        <f t="shared" si="27"/>
        <v>0</v>
      </c>
      <c r="DB41" s="115">
        <f t="shared" si="28"/>
        <v>0</v>
      </c>
      <c r="DC41" s="115">
        <f t="shared" si="29"/>
        <v>0</v>
      </c>
      <c r="DD41" s="115">
        <f t="shared" si="30"/>
        <v>0</v>
      </c>
      <c r="DE41" s="115">
        <f t="shared" si="31"/>
        <v>0</v>
      </c>
      <c r="DF41" s="115">
        <f t="shared" si="32"/>
        <v>0</v>
      </c>
      <c r="DG41" s="115">
        <f t="shared" si="33"/>
        <v>0</v>
      </c>
      <c r="DH41" s="115">
        <f t="shared" si="34"/>
        <v>0</v>
      </c>
      <c r="DI41" s="115">
        <f t="shared" si="35"/>
        <v>0</v>
      </c>
      <c r="DJ41" s="115">
        <f t="shared" si="36"/>
        <v>0</v>
      </c>
    </row>
    <row r="42" spans="2:114">
      <c r="B42" s="167">
        <f t="shared" si="37"/>
        <v>44687</v>
      </c>
      <c r="C42" s="168">
        <f t="shared" si="0"/>
        <v>44687</v>
      </c>
      <c r="D42" s="169" t="str">
        <f t="shared" si="1"/>
        <v>金</v>
      </c>
      <c r="E42" s="170" t="str">
        <f t="shared" si="2"/>
        <v/>
      </c>
      <c r="F42" s="207">
        <f t="shared" si="3"/>
        <v>0</v>
      </c>
      <c r="G42" s="208">
        <f t="shared" si="3"/>
        <v>0</v>
      </c>
      <c r="H42" s="173"/>
      <c r="I42" s="209"/>
      <c r="J42" s="210" t="str">
        <f t="shared" si="4"/>
        <v/>
      </c>
      <c r="K42" s="211" t="str">
        <f t="shared" si="4"/>
        <v/>
      </c>
      <c r="L42" s="233" t="str">
        <f t="shared" si="4"/>
        <v/>
      </c>
      <c r="M42" s="178">
        <f t="shared" si="45"/>
        <v>0</v>
      </c>
      <c r="N42" s="179">
        <f t="shared" si="45"/>
        <v>0</v>
      </c>
      <c r="O42" s="179">
        <f t="shared" si="45"/>
        <v>0</v>
      </c>
      <c r="P42" s="179">
        <f t="shared" si="45"/>
        <v>0</v>
      </c>
      <c r="Q42" s="179">
        <f t="shared" si="45"/>
        <v>0</v>
      </c>
      <c r="R42" s="179">
        <f t="shared" si="45"/>
        <v>0</v>
      </c>
      <c r="S42" s="179">
        <f t="shared" si="45"/>
        <v>0</v>
      </c>
      <c r="T42" s="179">
        <f t="shared" si="45"/>
        <v>0</v>
      </c>
      <c r="U42" s="179">
        <f t="shared" si="45"/>
        <v>0</v>
      </c>
      <c r="V42" s="179">
        <f t="shared" si="45"/>
        <v>0</v>
      </c>
      <c r="W42" s="179">
        <f t="shared" si="45"/>
        <v>0</v>
      </c>
      <c r="X42" s="179">
        <f t="shared" si="45"/>
        <v>0</v>
      </c>
      <c r="Y42" s="179">
        <f t="shared" si="45"/>
        <v>0</v>
      </c>
      <c r="Z42" s="179">
        <f t="shared" si="45"/>
        <v>0</v>
      </c>
      <c r="AA42" s="213">
        <f t="shared" si="45"/>
        <v>0</v>
      </c>
      <c r="AB42" s="213">
        <f t="shared" si="45"/>
        <v>0</v>
      </c>
      <c r="AC42" s="214">
        <f t="shared" si="46"/>
        <v>0</v>
      </c>
      <c r="AD42" s="215">
        <f t="shared" si="38"/>
        <v>0</v>
      </c>
      <c r="AE42" s="216">
        <f t="shared" si="41"/>
        <v>0</v>
      </c>
      <c r="AF42" s="217">
        <f t="shared" si="42"/>
        <v>0</v>
      </c>
      <c r="AG42" s="218"/>
      <c r="AH42" s="219"/>
      <c r="AI42" s="220"/>
      <c r="AJ42" s="219"/>
      <c r="AK42" s="220"/>
      <c r="AL42" s="219"/>
      <c r="AM42" s="220"/>
      <c r="AN42" s="221"/>
      <c r="AO42" s="222"/>
      <c r="AP42" s="238"/>
      <c r="AQ42" s="224"/>
      <c r="AR42" s="225"/>
      <c r="AS42" s="226"/>
      <c r="AT42" s="226"/>
      <c r="AU42" s="227"/>
      <c r="AV42" s="239"/>
      <c r="AW42" s="240"/>
      <c r="AX42" s="229">
        <f t="shared" si="39"/>
        <v>0</v>
      </c>
      <c r="AY42" s="230">
        <f t="shared" si="40"/>
        <v>0</v>
      </c>
      <c r="AZ42" s="201"/>
      <c r="BA42" s="202"/>
      <c r="BB42" s="203"/>
      <c r="BC42" s="236"/>
      <c r="BD42" s="202"/>
      <c r="BE42" s="203"/>
      <c r="BF42" s="236"/>
      <c r="BG42" s="202"/>
      <c r="BH42" s="203"/>
      <c r="BI42" s="236"/>
      <c r="BJ42" s="202"/>
      <c r="BK42" s="203"/>
      <c r="BL42" s="236"/>
      <c r="BM42" s="202"/>
      <c r="BN42" s="203"/>
      <c r="BO42" s="236"/>
      <c r="BP42" s="202"/>
      <c r="BQ42" s="203"/>
      <c r="BR42" s="236"/>
      <c r="BS42" s="202"/>
      <c r="BT42" s="203"/>
      <c r="BU42" s="236"/>
      <c r="BV42" s="202"/>
      <c r="BW42" s="203"/>
      <c r="BX42" s="236"/>
      <c r="BY42" s="202"/>
      <c r="BZ42" s="203"/>
      <c r="CA42" s="236"/>
      <c r="CB42" s="202"/>
      <c r="CC42" s="203"/>
      <c r="CD42" s="142"/>
      <c r="CE42" s="115">
        <f t="shared" si="7"/>
        <v>0</v>
      </c>
      <c r="CF42" s="115">
        <f t="shared" si="8"/>
        <v>0</v>
      </c>
      <c r="CG42" s="115">
        <f t="shared" si="9"/>
        <v>0</v>
      </c>
      <c r="CH42" s="115">
        <f t="shared" si="10"/>
        <v>0</v>
      </c>
      <c r="CI42" s="115">
        <f t="shared" si="11"/>
        <v>0</v>
      </c>
      <c r="CJ42" s="115">
        <f t="shared" si="12"/>
        <v>0</v>
      </c>
      <c r="CK42" s="115">
        <f t="shared" si="13"/>
        <v>0</v>
      </c>
      <c r="CL42" s="115">
        <f t="shared" si="14"/>
        <v>0</v>
      </c>
      <c r="CM42" s="115">
        <f t="shared" si="15"/>
        <v>0</v>
      </c>
      <c r="CN42" s="115">
        <f t="shared" si="16"/>
        <v>0</v>
      </c>
      <c r="CP42" s="115">
        <f t="shared" si="17"/>
        <v>0</v>
      </c>
      <c r="CQ42" s="115">
        <f t="shared" si="18"/>
        <v>0</v>
      </c>
      <c r="CR42" s="115">
        <f t="shared" si="19"/>
        <v>0</v>
      </c>
      <c r="CS42" s="115">
        <f t="shared" si="20"/>
        <v>0</v>
      </c>
      <c r="CT42" s="115">
        <f t="shared" si="21"/>
        <v>0</v>
      </c>
      <c r="CU42" s="115">
        <f t="shared" si="22"/>
        <v>0</v>
      </c>
      <c r="CV42" s="115">
        <f t="shared" si="23"/>
        <v>0</v>
      </c>
      <c r="CW42" s="115">
        <f t="shared" si="24"/>
        <v>0</v>
      </c>
      <c r="CX42" s="115">
        <f t="shared" si="25"/>
        <v>0</v>
      </c>
      <c r="CY42" s="115">
        <f t="shared" si="26"/>
        <v>0</v>
      </c>
      <c r="DA42" s="115">
        <f t="shared" si="27"/>
        <v>0</v>
      </c>
      <c r="DB42" s="115">
        <f t="shared" si="28"/>
        <v>0</v>
      </c>
      <c r="DC42" s="115">
        <f t="shared" si="29"/>
        <v>0</v>
      </c>
      <c r="DD42" s="115">
        <f t="shared" si="30"/>
        <v>0</v>
      </c>
      <c r="DE42" s="115">
        <f t="shared" si="31"/>
        <v>0</v>
      </c>
      <c r="DF42" s="115">
        <f t="shared" si="32"/>
        <v>0</v>
      </c>
      <c r="DG42" s="115">
        <f t="shared" si="33"/>
        <v>0</v>
      </c>
      <c r="DH42" s="115">
        <f t="shared" si="34"/>
        <v>0</v>
      </c>
      <c r="DI42" s="115">
        <f t="shared" si="35"/>
        <v>0</v>
      </c>
      <c r="DJ42" s="115">
        <f t="shared" si="36"/>
        <v>0</v>
      </c>
    </row>
    <row r="43" spans="2:114">
      <c r="B43" s="167">
        <f t="shared" si="37"/>
        <v>44688</v>
      </c>
      <c r="C43" s="168">
        <f t="shared" si="0"/>
        <v>44688</v>
      </c>
      <c r="D43" s="169" t="str">
        <f t="shared" si="1"/>
        <v>土</v>
      </c>
      <c r="E43" s="170" t="str">
        <f t="shared" si="2"/>
        <v>法定外</v>
      </c>
      <c r="F43" s="207">
        <f t="shared" si="3"/>
        <v>0</v>
      </c>
      <c r="G43" s="208">
        <f t="shared" si="3"/>
        <v>0</v>
      </c>
      <c r="H43" s="173"/>
      <c r="I43" s="209"/>
      <c r="J43" s="210" t="str">
        <f t="shared" si="4"/>
        <v/>
      </c>
      <c r="K43" s="211" t="str">
        <f t="shared" si="4"/>
        <v/>
      </c>
      <c r="L43" s="233" t="str">
        <f t="shared" si="4"/>
        <v/>
      </c>
      <c r="M43" s="178">
        <f t="shared" si="45"/>
        <v>0</v>
      </c>
      <c r="N43" s="179">
        <f t="shared" si="45"/>
        <v>0</v>
      </c>
      <c r="O43" s="179">
        <f t="shared" si="45"/>
        <v>0</v>
      </c>
      <c r="P43" s="179">
        <f t="shared" si="45"/>
        <v>0</v>
      </c>
      <c r="Q43" s="179">
        <f t="shared" si="45"/>
        <v>0</v>
      </c>
      <c r="R43" s="179">
        <f t="shared" si="45"/>
        <v>0</v>
      </c>
      <c r="S43" s="179">
        <f t="shared" si="45"/>
        <v>0</v>
      </c>
      <c r="T43" s="179">
        <f t="shared" si="45"/>
        <v>0</v>
      </c>
      <c r="U43" s="179">
        <f t="shared" si="45"/>
        <v>0</v>
      </c>
      <c r="V43" s="179">
        <f t="shared" si="45"/>
        <v>0</v>
      </c>
      <c r="W43" s="179">
        <f t="shared" si="45"/>
        <v>0</v>
      </c>
      <c r="X43" s="179">
        <f t="shared" si="45"/>
        <v>0</v>
      </c>
      <c r="Y43" s="179">
        <f t="shared" si="45"/>
        <v>0</v>
      </c>
      <c r="Z43" s="179">
        <f t="shared" si="45"/>
        <v>0</v>
      </c>
      <c r="AA43" s="213">
        <f t="shared" si="45"/>
        <v>0</v>
      </c>
      <c r="AB43" s="213">
        <f t="shared" si="45"/>
        <v>0</v>
      </c>
      <c r="AC43" s="214">
        <f t="shared" si="46"/>
        <v>0</v>
      </c>
      <c r="AD43" s="215">
        <f t="shared" si="38"/>
        <v>0</v>
      </c>
      <c r="AE43" s="216">
        <f t="shared" si="41"/>
        <v>0</v>
      </c>
      <c r="AF43" s="217">
        <f t="shared" si="42"/>
        <v>0</v>
      </c>
      <c r="AG43" s="218"/>
      <c r="AH43" s="219"/>
      <c r="AI43" s="220"/>
      <c r="AJ43" s="219"/>
      <c r="AK43" s="220"/>
      <c r="AL43" s="219"/>
      <c r="AM43" s="220"/>
      <c r="AN43" s="221"/>
      <c r="AO43" s="222"/>
      <c r="AP43" s="238"/>
      <c r="AQ43" s="224"/>
      <c r="AR43" s="225"/>
      <c r="AS43" s="226"/>
      <c r="AT43" s="226"/>
      <c r="AU43" s="227"/>
      <c r="AV43" s="239"/>
      <c r="AW43" s="240"/>
      <c r="AX43" s="229">
        <f t="shared" si="39"/>
        <v>0</v>
      </c>
      <c r="AY43" s="230">
        <f t="shared" si="40"/>
        <v>0</v>
      </c>
      <c r="AZ43" s="201"/>
      <c r="BA43" s="202"/>
      <c r="BB43" s="203"/>
      <c r="BC43" s="236"/>
      <c r="BD43" s="202"/>
      <c r="BE43" s="203"/>
      <c r="BF43" s="236"/>
      <c r="BG43" s="202"/>
      <c r="BH43" s="203"/>
      <c r="BI43" s="236"/>
      <c r="BJ43" s="202"/>
      <c r="BK43" s="203"/>
      <c r="BL43" s="236"/>
      <c r="BM43" s="202"/>
      <c r="BN43" s="203"/>
      <c r="BO43" s="236"/>
      <c r="BP43" s="202"/>
      <c r="BQ43" s="203"/>
      <c r="BR43" s="236"/>
      <c r="BS43" s="202"/>
      <c r="BT43" s="203"/>
      <c r="BU43" s="236"/>
      <c r="BV43" s="202"/>
      <c r="BW43" s="203"/>
      <c r="BX43" s="236"/>
      <c r="BY43" s="202"/>
      <c r="BZ43" s="203"/>
      <c r="CA43" s="236"/>
      <c r="CB43" s="202"/>
      <c r="CC43" s="203"/>
      <c r="CD43" s="142"/>
      <c r="CE43" s="115">
        <f t="shared" si="7"/>
        <v>0</v>
      </c>
      <c r="CF43" s="115">
        <f t="shared" si="8"/>
        <v>0</v>
      </c>
      <c r="CG43" s="115">
        <f t="shared" si="9"/>
        <v>0</v>
      </c>
      <c r="CH43" s="115">
        <f t="shared" si="10"/>
        <v>0</v>
      </c>
      <c r="CI43" s="115">
        <f t="shared" si="11"/>
        <v>0</v>
      </c>
      <c r="CJ43" s="115">
        <f t="shared" si="12"/>
        <v>0</v>
      </c>
      <c r="CK43" s="115">
        <f t="shared" si="13"/>
        <v>0</v>
      </c>
      <c r="CL43" s="115">
        <f t="shared" si="14"/>
        <v>0</v>
      </c>
      <c r="CM43" s="115">
        <f t="shared" si="15"/>
        <v>0</v>
      </c>
      <c r="CN43" s="115">
        <f t="shared" si="16"/>
        <v>0</v>
      </c>
      <c r="CP43" s="115">
        <f t="shared" si="17"/>
        <v>0</v>
      </c>
      <c r="CQ43" s="115">
        <f t="shared" si="18"/>
        <v>0</v>
      </c>
      <c r="CR43" s="115">
        <f t="shared" si="19"/>
        <v>0</v>
      </c>
      <c r="CS43" s="115">
        <f t="shared" si="20"/>
        <v>0</v>
      </c>
      <c r="CT43" s="115">
        <f t="shared" si="21"/>
        <v>0</v>
      </c>
      <c r="CU43" s="115">
        <f t="shared" si="22"/>
        <v>0</v>
      </c>
      <c r="CV43" s="115">
        <f t="shared" si="23"/>
        <v>0</v>
      </c>
      <c r="CW43" s="115">
        <f t="shared" si="24"/>
        <v>0</v>
      </c>
      <c r="CX43" s="115">
        <f t="shared" si="25"/>
        <v>0</v>
      </c>
      <c r="CY43" s="115">
        <f t="shared" si="26"/>
        <v>0</v>
      </c>
      <c r="DA43" s="115">
        <f t="shared" si="27"/>
        <v>0</v>
      </c>
      <c r="DB43" s="115">
        <f t="shared" si="28"/>
        <v>0</v>
      </c>
      <c r="DC43" s="115">
        <f t="shared" si="29"/>
        <v>0</v>
      </c>
      <c r="DD43" s="115">
        <f t="shared" si="30"/>
        <v>0</v>
      </c>
      <c r="DE43" s="115">
        <f t="shared" si="31"/>
        <v>0</v>
      </c>
      <c r="DF43" s="115">
        <f t="shared" si="32"/>
        <v>0</v>
      </c>
      <c r="DG43" s="115">
        <f t="shared" si="33"/>
        <v>0</v>
      </c>
      <c r="DH43" s="115">
        <f t="shared" si="34"/>
        <v>0</v>
      </c>
      <c r="DI43" s="115">
        <f t="shared" si="35"/>
        <v>0</v>
      </c>
      <c r="DJ43" s="115">
        <f t="shared" si="36"/>
        <v>0</v>
      </c>
    </row>
    <row r="44" spans="2:114">
      <c r="B44" s="167">
        <f t="shared" si="37"/>
        <v>44689</v>
      </c>
      <c r="C44" s="168">
        <f t="shared" si="0"/>
        <v>44689</v>
      </c>
      <c r="D44" s="169" t="str">
        <f t="shared" si="1"/>
        <v>日</v>
      </c>
      <c r="E44" s="170" t="str">
        <f t="shared" si="2"/>
        <v>法定</v>
      </c>
      <c r="F44" s="207">
        <f t="shared" si="3"/>
        <v>0</v>
      </c>
      <c r="G44" s="208">
        <f t="shared" si="3"/>
        <v>0</v>
      </c>
      <c r="H44" s="173"/>
      <c r="I44" s="209"/>
      <c r="J44" s="210" t="str">
        <f t="shared" si="4"/>
        <v/>
      </c>
      <c r="K44" s="211" t="str">
        <f t="shared" si="4"/>
        <v/>
      </c>
      <c r="L44" s="233" t="str">
        <f t="shared" si="4"/>
        <v/>
      </c>
      <c r="M44" s="178">
        <f t="shared" si="45"/>
        <v>0</v>
      </c>
      <c r="N44" s="179">
        <f t="shared" si="45"/>
        <v>0</v>
      </c>
      <c r="O44" s="179">
        <f t="shared" si="45"/>
        <v>0</v>
      </c>
      <c r="P44" s="179">
        <f t="shared" si="45"/>
        <v>0</v>
      </c>
      <c r="Q44" s="179">
        <f t="shared" si="45"/>
        <v>0</v>
      </c>
      <c r="R44" s="179">
        <f t="shared" si="45"/>
        <v>0</v>
      </c>
      <c r="S44" s="179">
        <f t="shared" si="45"/>
        <v>0</v>
      </c>
      <c r="T44" s="179">
        <f t="shared" si="45"/>
        <v>0</v>
      </c>
      <c r="U44" s="179">
        <f t="shared" si="45"/>
        <v>0</v>
      </c>
      <c r="V44" s="179">
        <f t="shared" si="45"/>
        <v>0</v>
      </c>
      <c r="W44" s="179">
        <f t="shared" si="45"/>
        <v>0</v>
      </c>
      <c r="X44" s="179">
        <f t="shared" si="45"/>
        <v>0</v>
      </c>
      <c r="Y44" s="179">
        <f t="shared" si="45"/>
        <v>0</v>
      </c>
      <c r="Z44" s="179">
        <f t="shared" si="45"/>
        <v>0</v>
      </c>
      <c r="AA44" s="213">
        <f t="shared" si="45"/>
        <v>0</v>
      </c>
      <c r="AB44" s="213">
        <f t="shared" si="45"/>
        <v>0</v>
      </c>
      <c r="AC44" s="214">
        <f t="shared" si="46"/>
        <v>0</v>
      </c>
      <c r="AD44" s="215">
        <f t="shared" si="38"/>
        <v>0</v>
      </c>
      <c r="AE44" s="216">
        <f t="shared" si="41"/>
        <v>0</v>
      </c>
      <c r="AF44" s="217">
        <f t="shared" si="42"/>
        <v>0</v>
      </c>
      <c r="AG44" s="218"/>
      <c r="AH44" s="219"/>
      <c r="AI44" s="220"/>
      <c r="AJ44" s="219"/>
      <c r="AK44" s="220"/>
      <c r="AL44" s="219"/>
      <c r="AM44" s="220"/>
      <c r="AN44" s="221"/>
      <c r="AO44" s="222"/>
      <c r="AP44" s="238"/>
      <c r="AQ44" s="224"/>
      <c r="AR44" s="225"/>
      <c r="AS44" s="226"/>
      <c r="AT44" s="226"/>
      <c r="AU44" s="227"/>
      <c r="AV44" s="239"/>
      <c r="AW44" s="240"/>
      <c r="AX44" s="229">
        <f t="shared" si="39"/>
        <v>0</v>
      </c>
      <c r="AY44" s="230">
        <f t="shared" si="40"/>
        <v>0</v>
      </c>
      <c r="AZ44" s="201"/>
      <c r="BA44" s="202"/>
      <c r="BB44" s="203"/>
      <c r="BC44" s="236"/>
      <c r="BD44" s="202"/>
      <c r="BE44" s="203"/>
      <c r="BF44" s="236"/>
      <c r="BG44" s="202"/>
      <c r="BH44" s="203"/>
      <c r="BI44" s="236"/>
      <c r="BJ44" s="202"/>
      <c r="BK44" s="203"/>
      <c r="BL44" s="236"/>
      <c r="BM44" s="202"/>
      <c r="BN44" s="203"/>
      <c r="BO44" s="236"/>
      <c r="BP44" s="202"/>
      <c r="BQ44" s="203"/>
      <c r="BR44" s="236"/>
      <c r="BS44" s="202"/>
      <c r="BT44" s="203"/>
      <c r="BU44" s="236"/>
      <c r="BV44" s="202"/>
      <c r="BW44" s="203"/>
      <c r="BX44" s="236"/>
      <c r="BY44" s="202"/>
      <c r="BZ44" s="203"/>
      <c r="CA44" s="236"/>
      <c r="CB44" s="202"/>
      <c r="CC44" s="203"/>
      <c r="CD44" s="142"/>
      <c r="CE44" s="115">
        <f t="shared" si="7"/>
        <v>0</v>
      </c>
      <c r="CF44" s="115">
        <f t="shared" si="8"/>
        <v>0</v>
      </c>
      <c r="CG44" s="115">
        <f t="shared" si="9"/>
        <v>0</v>
      </c>
      <c r="CH44" s="115">
        <f t="shared" si="10"/>
        <v>0</v>
      </c>
      <c r="CI44" s="115">
        <f t="shared" si="11"/>
        <v>0</v>
      </c>
      <c r="CJ44" s="115">
        <f t="shared" si="12"/>
        <v>0</v>
      </c>
      <c r="CK44" s="115">
        <f t="shared" si="13"/>
        <v>0</v>
      </c>
      <c r="CL44" s="115">
        <f t="shared" si="14"/>
        <v>0</v>
      </c>
      <c r="CM44" s="115">
        <f t="shared" si="15"/>
        <v>0</v>
      </c>
      <c r="CN44" s="115">
        <f t="shared" si="16"/>
        <v>0</v>
      </c>
      <c r="CP44" s="115">
        <f t="shared" si="17"/>
        <v>0</v>
      </c>
      <c r="CQ44" s="115">
        <f t="shared" si="18"/>
        <v>0</v>
      </c>
      <c r="CR44" s="115">
        <f t="shared" si="19"/>
        <v>0</v>
      </c>
      <c r="CS44" s="115">
        <f t="shared" si="20"/>
        <v>0</v>
      </c>
      <c r="CT44" s="115">
        <f t="shared" si="21"/>
        <v>0</v>
      </c>
      <c r="CU44" s="115">
        <f t="shared" si="22"/>
        <v>0</v>
      </c>
      <c r="CV44" s="115">
        <f t="shared" si="23"/>
        <v>0</v>
      </c>
      <c r="CW44" s="115">
        <f t="shared" si="24"/>
        <v>0</v>
      </c>
      <c r="CX44" s="115">
        <f t="shared" si="25"/>
        <v>0</v>
      </c>
      <c r="CY44" s="115">
        <f t="shared" si="26"/>
        <v>0</v>
      </c>
      <c r="DA44" s="115">
        <f t="shared" si="27"/>
        <v>0</v>
      </c>
      <c r="DB44" s="115">
        <f t="shared" si="28"/>
        <v>0</v>
      </c>
      <c r="DC44" s="115">
        <f t="shared" si="29"/>
        <v>0</v>
      </c>
      <c r="DD44" s="115">
        <f t="shared" si="30"/>
        <v>0</v>
      </c>
      <c r="DE44" s="115">
        <f t="shared" si="31"/>
        <v>0</v>
      </c>
      <c r="DF44" s="115">
        <f t="shared" si="32"/>
        <v>0</v>
      </c>
      <c r="DG44" s="115">
        <f t="shared" si="33"/>
        <v>0</v>
      </c>
      <c r="DH44" s="115">
        <f t="shared" si="34"/>
        <v>0</v>
      </c>
      <c r="DI44" s="115">
        <f t="shared" si="35"/>
        <v>0</v>
      </c>
      <c r="DJ44" s="115">
        <f t="shared" si="36"/>
        <v>0</v>
      </c>
    </row>
    <row r="45" spans="2:114" ht="14.25" thickBot="1">
      <c r="B45" s="167">
        <f t="shared" si="37"/>
        <v>44690</v>
      </c>
      <c r="C45" s="168">
        <f t="shared" si="0"/>
        <v>44690</v>
      </c>
      <c r="D45" s="169" t="str">
        <f t="shared" si="1"/>
        <v>月</v>
      </c>
      <c r="E45" s="170" t="str">
        <f t="shared" si="2"/>
        <v/>
      </c>
      <c r="F45" s="241">
        <f t="shared" si="3"/>
        <v>0</v>
      </c>
      <c r="G45" s="242">
        <f t="shared" si="3"/>
        <v>0</v>
      </c>
      <c r="H45" s="173"/>
      <c r="I45" s="243"/>
      <c r="J45" s="244" t="str">
        <f t="shared" si="4"/>
        <v/>
      </c>
      <c r="K45" s="245" t="str">
        <f t="shared" si="4"/>
        <v/>
      </c>
      <c r="L45" s="246" t="str">
        <f t="shared" si="4"/>
        <v/>
      </c>
      <c r="M45" s="247">
        <f t="shared" si="45"/>
        <v>0</v>
      </c>
      <c r="N45" s="179">
        <f t="shared" si="45"/>
        <v>0</v>
      </c>
      <c r="O45" s="248">
        <f t="shared" si="45"/>
        <v>0</v>
      </c>
      <c r="P45" s="248">
        <f t="shared" si="45"/>
        <v>0</v>
      </c>
      <c r="Q45" s="248">
        <f t="shared" si="45"/>
        <v>0</v>
      </c>
      <c r="R45" s="248">
        <f t="shared" si="45"/>
        <v>0</v>
      </c>
      <c r="S45" s="248">
        <f t="shared" si="45"/>
        <v>0</v>
      </c>
      <c r="T45" s="248">
        <f t="shared" si="45"/>
        <v>0</v>
      </c>
      <c r="U45" s="248">
        <f t="shared" si="45"/>
        <v>0</v>
      </c>
      <c r="V45" s="248">
        <f t="shared" si="45"/>
        <v>0</v>
      </c>
      <c r="W45" s="248">
        <f t="shared" si="45"/>
        <v>0</v>
      </c>
      <c r="X45" s="248">
        <f t="shared" si="45"/>
        <v>0</v>
      </c>
      <c r="Y45" s="248">
        <f t="shared" si="45"/>
        <v>0</v>
      </c>
      <c r="Z45" s="248">
        <f t="shared" si="45"/>
        <v>0</v>
      </c>
      <c r="AA45" s="249">
        <f t="shared" si="45"/>
        <v>0</v>
      </c>
      <c r="AB45" s="249">
        <f t="shared" si="45"/>
        <v>0</v>
      </c>
      <c r="AC45" s="250">
        <f t="shared" si="46"/>
        <v>0</v>
      </c>
      <c r="AD45" s="251">
        <f t="shared" si="38"/>
        <v>0</v>
      </c>
      <c r="AE45" s="252">
        <f t="shared" si="41"/>
        <v>0</v>
      </c>
      <c r="AF45" s="217">
        <f t="shared" si="42"/>
        <v>0</v>
      </c>
      <c r="AG45" s="253"/>
      <c r="AH45" s="254"/>
      <c r="AI45" s="255"/>
      <c r="AJ45" s="254"/>
      <c r="AK45" s="255"/>
      <c r="AL45" s="254"/>
      <c r="AM45" s="255"/>
      <c r="AN45" s="256"/>
      <c r="AO45" s="257"/>
      <c r="AP45" s="258"/>
      <c r="AQ45" s="259"/>
      <c r="AR45" s="260"/>
      <c r="AS45" s="261"/>
      <c r="AT45" s="260"/>
      <c r="AU45" s="262"/>
      <c r="AV45" s="263"/>
      <c r="AW45" s="240"/>
      <c r="AX45" s="264">
        <f t="shared" si="39"/>
        <v>0</v>
      </c>
      <c r="AY45" s="265">
        <f t="shared" si="40"/>
        <v>0</v>
      </c>
      <c r="AZ45" s="266"/>
      <c r="BA45" s="267"/>
      <c r="BB45" s="203"/>
      <c r="BC45" s="268"/>
      <c r="BD45" s="267"/>
      <c r="BE45" s="203"/>
      <c r="BF45" s="268"/>
      <c r="BG45" s="267"/>
      <c r="BH45" s="203"/>
      <c r="BI45" s="268"/>
      <c r="BJ45" s="267"/>
      <c r="BK45" s="203"/>
      <c r="BL45" s="268"/>
      <c r="BM45" s="267"/>
      <c r="BN45" s="203"/>
      <c r="BO45" s="268"/>
      <c r="BP45" s="267"/>
      <c r="BQ45" s="203"/>
      <c r="BR45" s="268"/>
      <c r="BS45" s="267"/>
      <c r="BT45" s="203"/>
      <c r="BU45" s="268"/>
      <c r="BV45" s="267"/>
      <c r="BW45" s="203"/>
      <c r="BX45" s="268"/>
      <c r="BY45" s="267"/>
      <c r="BZ45" s="203"/>
      <c r="CA45" s="268"/>
      <c r="CB45" s="267"/>
      <c r="CC45" s="203"/>
      <c r="CD45" s="142"/>
      <c r="CE45" s="115">
        <f t="shared" si="7"/>
        <v>0</v>
      </c>
      <c r="CF45" s="115">
        <f t="shared" si="8"/>
        <v>0</v>
      </c>
      <c r="CG45" s="115">
        <f t="shared" si="9"/>
        <v>0</v>
      </c>
      <c r="CH45" s="115">
        <f t="shared" si="10"/>
        <v>0</v>
      </c>
      <c r="CI45" s="115">
        <f t="shared" si="11"/>
        <v>0</v>
      </c>
      <c r="CJ45" s="115">
        <f t="shared" si="12"/>
        <v>0</v>
      </c>
      <c r="CK45" s="115">
        <f t="shared" si="13"/>
        <v>0</v>
      </c>
      <c r="CL45" s="115">
        <f t="shared" si="14"/>
        <v>0</v>
      </c>
      <c r="CM45" s="115">
        <f t="shared" si="15"/>
        <v>0</v>
      </c>
      <c r="CN45" s="115">
        <f t="shared" si="16"/>
        <v>0</v>
      </c>
      <c r="CP45" s="115">
        <f t="shared" si="17"/>
        <v>0</v>
      </c>
      <c r="CQ45" s="115">
        <f t="shared" si="18"/>
        <v>0</v>
      </c>
      <c r="CR45" s="115">
        <f t="shared" si="19"/>
        <v>0</v>
      </c>
      <c r="CS45" s="115">
        <f t="shared" si="20"/>
        <v>0</v>
      </c>
      <c r="CT45" s="115">
        <f t="shared" si="21"/>
        <v>0</v>
      </c>
      <c r="CU45" s="115">
        <f t="shared" si="22"/>
        <v>0</v>
      </c>
      <c r="CV45" s="115">
        <f t="shared" si="23"/>
        <v>0</v>
      </c>
      <c r="CW45" s="115">
        <f t="shared" si="24"/>
        <v>0</v>
      </c>
      <c r="CX45" s="115">
        <f t="shared" si="25"/>
        <v>0</v>
      </c>
      <c r="CY45" s="115">
        <f t="shared" si="26"/>
        <v>0</v>
      </c>
      <c r="DA45" s="115">
        <f t="shared" si="27"/>
        <v>0</v>
      </c>
      <c r="DB45" s="115">
        <f t="shared" si="28"/>
        <v>0</v>
      </c>
      <c r="DC45" s="115">
        <f t="shared" si="29"/>
        <v>0</v>
      </c>
      <c r="DD45" s="115">
        <f t="shared" si="30"/>
        <v>0</v>
      </c>
      <c r="DE45" s="115">
        <f t="shared" si="31"/>
        <v>0</v>
      </c>
      <c r="DF45" s="115">
        <f t="shared" si="32"/>
        <v>0</v>
      </c>
      <c r="DG45" s="115">
        <f t="shared" si="33"/>
        <v>0</v>
      </c>
      <c r="DH45" s="115">
        <f t="shared" si="34"/>
        <v>0</v>
      </c>
      <c r="DI45" s="115">
        <f t="shared" si="35"/>
        <v>0</v>
      </c>
      <c r="DJ45" s="115">
        <f t="shared" si="36"/>
        <v>0</v>
      </c>
    </row>
    <row r="46" spans="2:114" ht="14.25" thickBot="1">
      <c r="B46" s="269"/>
      <c r="C46" s="269"/>
      <c r="D46" s="269"/>
      <c r="E46" s="270"/>
      <c r="F46" s="271"/>
      <c r="G46" s="272"/>
      <c r="H46" s="273"/>
      <c r="I46" s="272"/>
      <c r="J46" s="274"/>
      <c r="K46" s="272"/>
      <c r="L46" s="275" t="s">
        <v>209</v>
      </c>
      <c r="M46" s="276">
        <f t="shared" ref="M46:AE46" si="47">SUM(M7:M45)</f>
        <v>6.541666666666667</v>
      </c>
      <c r="N46" s="277">
        <f t="shared" si="47"/>
        <v>0</v>
      </c>
      <c r="O46" s="277">
        <f t="shared" si="47"/>
        <v>0</v>
      </c>
      <c r="P46" s="277">
        <f t="shared" si="47"/>
        <v>0</v>
      </c>
      <c r="Q46" s="277">
        <f t="shared" si="47"/>
        <v>0</v>
      </c>
      <c r="R46" s="277">
        <f t="shared" si="47"/>
        <v>0</v>
      </c>
      <c r="S46" s="277">
        <f t="shared" si="47"/>
        <v>0</v>
      </c>
      <c r="T46" s="277">
        <f t="shared" si="47"/>
        <v>0</v>
      </c>
      <c r="U46" s="277">
        <f t="shared" si="47"/>
        <v>0</v>
      </c>
      <c r="V46" s="277">
        <f t="shared" si="47"/>
        <v>0</v>
      </c>
      <c r="W46" s="277">
        <f t="shared" si="47"/>
        <v>0</v>
      </c>
      <c r="X46" s="277">
        <f t="shared" si="47"/>
        <v>0</v>
      </c>
      <c r="Y46" s="277">
        <f t="shared" si="47"/>
        <v>0</v>
      </c>
      <c r="Z46" s="277">
        <f t="shared" si="47"/>
        <v>0</v>
      </c>
      <c r="AA46" s="278">
        <f t="shared" si="47"/>
        <v>0</v>
      </c>
      <c r="AB46" s="277">
        <f>SUM(AB7:AB45)</f>
        <v>0</v>
      </c>
      <c r="AC46" s="277">
        <f t="shared" si="47"/>
        <v>0</v>
      </c>
      <c r="AD46" s="279">
        <f t="shared" si="47"/>
        <v>6.541666666666667</v>
      </c>
      <c r="AE46" s="280">
        <f t="shared" si="47"/>
        <v>0</v>
      </c>
      <c r="AF46" s="281"/>
      <c r="AG46" s="282">
        <f t="shared" ref="AG46:AN46" si="48">SUM(AG7:AG45)</f>
        <v>0</v>
      </c>
      <c r="AH46" s="283">
        <f t="shared" si="48"/>
        <v>0</v>
      </c>
      <c r="AI46" s="284">
        <f t="shared" si="48"/>
        <v>0</v>
      </c>
      <c r="AJ46" s="283">
        <f t="shared" si="48"/>
        <v>0</v>
      </c>
      <c r="AK46" s="284">
        <f t="shared" si="48"/>
        <v>0</v>
      </c>
      <c r="AL46" s="283">
        <f t="shared" si="48"/>
        <v>0</v>
      </c>
      <c r="AM46" s="284">
        <f t="shared" si="48"/>
        <v>0</v>
      </c>
      <c r="AN46" s="285">
        <f t="shared" si="48"/>
        <v>0</v>
      </c>
      <c r="AO46" s="269"/>
      <c r="AP46" s="286"/>
      <c r="AQ46" s="286"/>
      <c r="AV46" s="269"/>
      <c r="AW46" s="269"/>
      <c r="AX46" s="269"/>
      <c r="AY46" s="269"/>
      <c r="AZ46" s="269"/>
      <c r="BA46" s="287"/>
      <c r="BB46" s="269"/>
      <c r="BC46" s="269"/>
      <c r="BD46" s="269"/>
      <c r="BE46" s="269"/>
      <c r="BF46" s="269"/>
      <c r="BG46" s="269"/>
      <c r="BH46" s="269"/>
      <c r="BI46" s="269"/>
      <c r="BJ46" s="269"/>
      <c r="BK46" s="269"/>
      <c r="BL46" s="269"/>
      <c r="BM46" s="269"/>
      <c r="BN46" s="269"/>
      <c r="BO46" s="269"/>
      <c r="BP46" s="269"/>
      <c r="BQ46" s="269"/>
      <c r="BR46" s="269"/>
      <c r="BS46" s="269"/>
      <c r="BT46" s="269"/>
      <c r="BU46" s="269"/>
      <c r="BV46" s="269"/>
      <c r="BW46" s="269"/>
      <c r="BX46" s="269"/>
      <c r="BY46" s="269"/>
      <c r="BZ46" s="269"/>
      <c r="CA46" s="269"/>
      <c r="CB46" s="269"/>
      <c r="CC46" s="269"/>
    </row>
    <row r="47" spans="2:114">
      <c r="B47" s="286"/>
      <c r="C47" s="286"/>
      <c r="D47" s="286"/>
      <c r="E47" s="286"/>
      <c r="F47" s="286"/>
      <c r="G47" s="286"/>
      <c r="H47" s="286"/>
      <c r="I47" s="286"/>
      <c r="J47" s="286"/>
      <c r="K47" s="286"/>
      <c r="L47" s="286"/>
      <c r="M47" s="286"/>
      <c r="N47" s="286"/>
      <c r="O47" s="286"/>
      <c r="P47" s="286"/>
      <c r="Q47" s="286"/>
      <c r="R47" s="286"/>
      <c r="S47" s="286"/>
      <c r="T47" s="286"/>
      <c r="U47" s="286"/>
      <c r="V47" s="286"/>
      <c r="W47" s="286"/>
      <c r="X47" s="286"/>
      <c r="Y47" s="286"/>
      <c r="Z47" s="286"/>
      <c r="AA47" s="286"/>
      <c r="AB47" s="286"/>
      <c r="AC47" s="286"/>
      <c r="AD47" s="286"/>
      <c r="AE47" s="286"/>
      <c r="AF47" s="286"/>
      <c r="AG47" s="286"/>
      <c r="AH47" s="286"/>
      <c r="AI47" s="286"/>
      <c r="AJ47" s="286"/>
      <c r="AK47" s="286"/>
      <c r="AL47" s="286"/>
      <c r="AM47" s="286"/>
      <c r="AN47" s="286"/>
      <c r="AO47" s="286"/>
      <c r="AP47" s="286"/>
      <c r="AQ47" s="286"/>
      <c r="AV47" s="286"/>
      <c r="AW47" s="286"/>
      <c r="AX47" s="286"/>
      <c r="AY47" s="286"/>
      <c r="AZ47" s="286"/>
      <c r="BA47" s="288"/>
      <c r="BB47" s="286"/>
      <c r="BC47" s="286"/>
      <c r="BD47" s="286"/>
      <c r="BE47" s="286"/>
      <c r="BF47" s="286"/>
      <c r="BG47" s="286"/>
      <c r="BH47" s="286"/>
      <c r="BI47" s="286"/>
      <c r="BJ47" s="286"/>
      <c r="BK47" s="286"/>
      <c r="BL47" s="286"/>
      <c r="BM47" s="286"/>
      <c r="BN47" s="286"/>
      <c r="BO47" s="286"/>
      <c r="BP47" s="286"/>
      <c r="BQ47" s="286"/>
      <c r="BR47" s="286"/>
      <c r="BS47" s="286"/>
      <c r="BT47" s="286"/>
      <c r="BU47" s="286"/>
      <c r="BV47" s="286"/>
      <c r="BW47" s="286"/>
      <c r="BX47" s="286"/>
      <c r="BY47" s="286"/>
      <c r="BZ47" s="286"/>
      <c r="CA47" s="286"/>
      <c r="CB47" s="286"/>
      <c r="CC47" s="286"/>
    </row>
  </sheetData>
  <sheetProtection algorithmName="SHA-512" hashValue="Uxzv2kcu5wN212679qQCwjPEYNlNMdC+cDY1yWk10TE+aBxglBTlI2lpNhkZjsnxGLrL64jJfuUI+tpLnEFDiQ==" saltValue="nlTTEhbdQmCCvovr/T7OrA==" spinCount="100000" sheet="1" objects="1" scenarios="1" formatColumns="0" autoFilter="0"/>
  <mergeCells count="34">
    <mergeCell ref="AY5:AY6"/>
    <mergeCell ref="AI5:AJ5"/>
    <mergeCell ref="AK5:AL5"/>
    <mergeCell ref="AM5:AN5"/>
    <mergeCell ref="AO5:AO6"/>
    <mergeCell ref="AP5:AP6"/>
    <mergeCell ref="AQ5:AQ6"/>
    <mergeCell ref="AR5:AR6"/>
    <mergeCell ref="AS5:AT5"/>
    <mergeCell ref="AV5:AV6"/>
    <mergeCell ref="AW5:AW6"/>
    <mergeCell ref="AX5:AX6"/>
    <mergeCell ref="AG5:AH5"/>
    <mergeCell ref="B5:B6"/>
    <mergeCell ref="C5:C6"/>
    <mergeCell ref="D5:D6"/>
    <mergeCell ref="E5:E6"/>
    <mergeCell ref="F5:F6"/>
    <mergeCell ref="G5:G6"/>
    <mergeCell ref="H5:I5"/>
    <mergeCell ref="J5:K5"/>
    <mergeCell ref="N5:T5"/>
    <mergeCell ref="U5:AB5"/>
    <mergeCell ref="AD5:AF5"/>
    <mergeCell ref="G2:O2"/>
    <mergeCell ref="AP2:AR3"/>
    <mergeCell ref="AS2:AT3"/>
    <mergeCell ref="AW2:BB2"/>
    <mergeCell ref="BD2:BE2"/>
    <mergeCell ref="G3:I3"/>
    <mergeCell ref="K3:L3"/>
    <mergeCell ref="N3:O3"/>
    <mergeCell ref="AY3:AZ3"/>
    <mergeCell ref="BD3:BE3"/>
  </mergeCells>
  <phoneticPr fontId="3"/>
  <conditionalFormatting sqref="B7:D45">
    <cfRule type="expression" dxfId="15" priority="15" stopIfTrue="1">
      <formula>AND($B7&gt;$BD$3,$BD$3&lt;&gt;"")</formula>
    </cfRule>
    <cfRule type="expression" dxfId="14" priority="16" stopIfTrue="1">
      <formula>$E7&lt;&gt;""</formula>
    </cfRule>
  </conditionalFormatting>
  <conditionalFormatting sqref="J7:K45">
    <cfRule type="cellIs" dxfId="13" priority="14" stopIfTrue="1" operator="greaterThan">
      <formula>"01:出勤"</formula>
    </cfRule>
  </conditionalFormatting>
  <conditionalFormatting sqref="AS7:AT45">
    <cfRule type="cellIs" dxfId="12" priority="6" stopIfTrue="1" operator="equal">
      <formula>"046：【振休休出】法定"</formula>
    </cfRule>
    <cfRule type="cellIs" dxfId="11" priority="7" stopIfTrue="1" operator="equal">
      <formula>"047：【振休休出】法定外"</formula>
    </cfRule>
    <cfRule type="cellIs" dxfId="10" priority="8" stopIfTrue="1" operator="equal">
      <formula>"044：【振出】法定"</formula>
    </cfRule>
    <cfRule type="cellIs" dxfId="9" priority="9" stopIfTrue="1" operator="equal">
      <formula>"045：【振出】法定外"</formula>
    </cfRule>
    <cfRule type="cellIs" dxfId="8" priority="10" stopIfTrue="1" operator="between">
      <formula>"015：【保存休】私傷病"</formula>
      <formula>"039：【休業】傷病休職"</formula>
    </cfRule>
    <cfRule type="cellIs" dxfId="7" priority="11" stopIfTrue="1" operator="between">
      <formula>"002：【年休】私用"</formula>
      <formula>"009：代休"</formula>
    </cfRule>
    <cfRule type="cellIs" dxfId="6" priority="12" stopIfTrue="1" operator="equal">
      <formula>"014：【休出】法定外"</formula>
    </cfRule>
    <cfRule type="cellIs" dxfId="5" priority="13" stopIfTrue="1" operator="equal">
      <formula>"013：【休出】法定"</formula>
    </cfRule>
  </conditionalFormatting>
  <conditionalFormatting sqref="AX7:AX45">
    <cfRule type="expression" dxfId="4" priority="5" stopIfTrue="1">
      <formula>VALUE(AX7)&lt;&gt;VALUE(AY7)</formula>
    </cfRule>
  </conditionalFormatting>
  <conditionalFormatting sqref="AY7:AY45">
    <cfRule type="expression" dxfId="3" priority="4" stopIfTrue="1">
      <formula>VALUE(AX7)&lt;&gt;VALUE(AY7)</formula>
    </cfRule>
  </conditionalFormatting>
  <conditionalFormatting sqref="E7:E45">
    <cfRule type="cellIs" dxfId="2" priority="1" stopIfTrue="1" operator="equal">
      <formula>"法定"</formula>
    </cfRule>
    <cfRule type="cellIs" dxfId="1" priority="2" stopIfTrue="1" operator="equal">
      <formula>"法定外"</formula>
    </cfRule>
    <cfRule type="expression" dxfId="0" priority="3" stopIfTrue="1">
      <formula>AND($B7&gt;$BD$3,$BD$3&lt;&gt;"")</formula>
    </cfRule>
  </conditionalFormatting>
  <dataValidations count="14">
    <dataValidation type="date" allowBlank="1" showInputMessage="1" showErrorMessage="1" sqref="AQ7:AQ45" xr:uid="{00000000-0002-0000-0200-000000000000}">
      <formula1>40179</formula1>
      <formula2>54788</formula2>
    </dataValidation>
    <dataValidation type="textLength" imeMode="disabled" operator="equal" allowBlank="1" showInputMessage="1" showErrorMessage="1" sqref="F4" xr:uid="{00000000-0002-0000-0200-000001000000}">
      <formula1>7</formula1>
    </dataValidation>
    <dataValidation type="list" allowBlank="1" showInputMessage="1" showErrorMessage="1" sqref="AR7:AR45" xr:uid="{00000000-0002-0000-0200-000002000000}">
      <formula1>"○"</formula1>
    </dataValidation>
    <dataValidation type="whole" imeMode="disabled" allowBlank="1" showInputMessage="1" showErrorMessage="1" sqref="AI7:AJ45" xr:uid="{00000000-0002-0000-0200-000003000000}">
      <formula1>1</formula1>
      <formula2>2</formula2>
    </dataValidation>
    <dataValidation type="whole" imeMode="disabled" allowBlank="1" showInputMessage="1" showErrorMessage="1" sqref="AG7:AH45 AK7:AN45" xr:uid="{00000000-0002-0000-0200-000004000000}">
      <formula1>1</formula1>
      <formula2>1</formula2>
    </dataValidation>
    <dataValidation imeMode="disabled" operator="equal" allowBlank="1" showInputMessage="1" showErrorMessage="1" sqref="AW3" xr:uid="{00000000-0002-0000-0200-000005000000}"/>
    <dataValidation type="textLength" imeMode="disabled" operator="equal" allowBlank="1" showInputMessage="1" showErrorMessage="1" sqref="BX7:BX45 BF7:BF45 CA7:CA45 BU7:BU45 BR7:BR45 BO7:BO45 BL7:BL45 BI7:BI45 AZ7:AZ45 BC7:BC45" xr:uid="{00000000-0002-0000-0200-000006000000}">
      <formula1>12</formula1>
    </dataValidation>
    <dataValidation type="date" imeMode="disabled" operator="greaterThanOrEqual" allowBlank="1" showInputMessage="1" showErrorMessage="1" sqref="BD3:BE3" xr:uid="{00000000-0002-0000-0200-000007000000}">
      <formula1>36526</formula1>
    </dataValidation>
    <dataValidation type="date" operator="greaterThanOrEqual" allowBlank="1" showInputMessage="1" showErrorMessage="1" sqref="BD2:BE2" xr:uid="{00000000-0002-0000-0200-000008000000}">
      <formula1>36526</formula1>
    </dataValidation>
    <dataValidation type="time" operator="greaterThanOrEqual" allowBlank="1" showInputMessage="1" showErrorMessage="1" sqref="AV7:AW45" xr:uid="{00000000-0002-0000-0200-000009000000}">
      <formula1>0</formula1>
    </dataValidation>
    <dataValidation type="decimal" imeMode="disabled" operator="greaterThanOrEqual" allowBlank="1" showInputMessage="1" showErrorMessage="1" sqref="CC7:CC45 BK7:BK45 BZ7:BZ45 BW7:BW45 BT7:BT45 BQ7:BQ45 BN7:BN45 BH7:BH45 BB7:BB45 BE7:BE45" xr:uid="{00000000-0002-0000-0200-00000A000000}">
      <formula1>0</formula1>
    </dataValidation>
    <dataValidation type="list" allowBlank="1" showInputMessage="1" showErrorMessage="1" sqref="BB3" xr:uid="{00000000-0002-0000-0200-00000B000000}">
      <formula1>"一般,M5、P5以上"</formula1>
    </dataValidation>
    <dataValidation type="list" allowBlank="1" showInputMessage="1" showErrorMessage="1" sqref="BY7:BY45 BG7:BG45 BJ7:BJ45 BM7:BM45 BP7:BP45 BS7:BS45 BV7:BV45 BD7:BD45 BA7:BA45 CB7:CB45" xr:uid="{00000000-0002-0000-0200-00000C000000}">
      <formula1>時間区分リスト</formula1>
    </dataValidation>
    <dataValidation operator="equal" allowBlank="1" showInputMessage="1" showErrorMessage="1" sqref="AY3 G4" xr:uid="{00000000-0002-0000-0200-00000D000000}"/>
  </dataValidations>
  <pageMargins left="0.78700000000000003" right="0.78700000000000003" top="0.98399999999999999" bottom="0.98399999999999999" header="0.51200000000000001" footer="0.51200000000000001"/>
  <pageSetup paperSize="9" scale="38" orientation="landscape"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indexed="45"/>
  </sheetPr>
  <dimension ref="A1:F322"/>
  <sheetViews>
    <sheetView zoomScaleNormal="100" workbookViewId="0">
      <pane xSplit="1" ySplit="16" topLeftCell="B17" activePane="bottomRight" state="frozen"/>
      <selection activeCell="I15" sqref="I15:I24"/>
      <selection pane="topRight" activeCell="I15" sqref="I15:I24"/>
      <selection pane="bottomLeft" activeCell="I15" sqref="I15:I24"/>
      <selection pane="bottomRight" activeCell="I15" sqref="I15:I24"/>
    </sheetView>
  </sheetViews>
  <sheetFormatPr defaultRowHeight="13.5"/>
  <cols>
    <col min="1" max="1" width="5.5" customWidth="1"/>
    <col min="2" max="2" width="84.5" customWidth="1"/>
    <col min="3" max="3" width="11" style="290" bestFit="1" customWidth="1"/>
    <col min="4" max="4" width="16.125" customWidth="1"/>
    <col min="5" max="5" width="14.375" style="290" bestFit="1" customWidth="1"/>
    <col min="6" max="6" width="70.375" customWidth="1"/>
  </cols>
  <sheetData>
    <row r="1" spans="1:6" ht="18.75">
      <c r="A1" s="289" t="s">
        <v>210</v>
      </c>
    </row>
    <row r="2" spans="1:6">
      <c r="B2" t="s">
        <v>211</v>
      </c>
    </row>
    <row r="3" spans="1:6" hidden="1"/>
    <row r="4" spans="1:6" hidden="1"/>
    <row r="5" spans="1:6" hidden="1"/>
    <row r="6" spans="1:6" hidden="1"/>
    <row r="15" spans="1:6">
      <c r="B15" t="s">
        <v>212</v>
      </c>
    </row>
    <row r="16" spans="1:6">
      <c r="B16" s="291" t="s">
        <v>213</v>
      </c>
      <c r="C16" s="291" t="s">
        <v>214</v>
      </c>
      <c r="D16" s="291" t="s">
        <v>8</v>
      </c>
      <c r="E16" s="291" t="s">
        <v>215</v>
      </c>
      <c r="F16" s="291" t="s">
        <v>216</v>
      </c>
    </row>
    <row r="17" spans="1:6">
      <c r="A17" s="292"/>
      <c r="B17" s="293"/>
      <c r="C17" s="294"/>
      <c r="D17" s="293"/>
      <c r="E17" s="294"/>
      <c r="F17" s="293"/>
    </row>
    <row r="18" spans="1:6">
      <c r="A18" s="292"/>
      <c r="B18" s="293"/>
      <c r="C18" s="294"/>
      <c r="D18" s="293"/>
      <c r="E18" s="294"/>
      <c r="F18" s="293"/>
    </row>
    <row r="19" spans="1:6">
      <c r="A19" s="292"/>
      <c r="B19" s="293"/>
      <c r="C19" s="294"/>
      <c r="D19" s="293"/>
      <c r="E19" s="294"/>
      <c r="F19" s="293"/>
    </row>
    <row r="20" spans="1:6">
      <c r="A20" s="292"/>
      <c r="B20" s="293"/>
      <c r="C20" s="294"/>
      <c r="D20" s="293"/>
      <c r="E20" s="294"/>
      <c r="F20" s="293"/>
    </row>
    <row r="21" spans="1:6">
      <c r="A21" s="292"/>
      <c r="B21" s="293"/>
      <c r="C21" s="294"/>
      <c r="D21" s="293"/>
      <c r="E21" s="294"/>
      <c r="F21" s="293"/>
    </row>
    <row r="22" spans="1:6">
      <c r="A22" s="292"/>
      <c r="B22" s="293"/>
      <c r="C22" s="294"/>
      <c r="D22" s="293"/>
      <c r="E22" s="294"/>
      <c r="F22" s="293"/>
    </row>
    <row r="23" spans="1:6">
      <c r="A23" s="292"/>
      <c r="B23" s="293"/>
      <c r="C23" s="294"/>
      <c r="D23" s="293"/>
      <c r="E23" s="294"/>
      <c r="F23" s="293"/>
    </row>
    <row r="24" spans="1:6">
      <c r="A24" s="292"/>
      <c r="B24" s="293"/>
      <c r="C24" s="294"/>
      <c r="D24" s="293"/>
      <c r="E24" s="294"/>
      <c r="F24" s="293"/>
    </row>
    <row r="25" spans="1:6">
      <c r="A25" s="292"/>
      <c r="B25" s="293"/>
      <c r="C25" s="294"/>
      <c r="D25" s="293"/>
      <c r="E25" s="294"/>
      <c r="F25" s="293"/>
    </row>
    <row r="26" spans="1:6">
      <c r="A26" s="292"/>
      <c r="B26" s="293"/>
      <c r="C26" s="294"/>
      <c r="D26" s="293"/>
      <c r="E26" s="294"/>
      <c r="F26" s="293"/>
    </row>
    <row r="27" spans="1:6">
      <c r="A27" s="292"/>
      <c r="B27" s="293"/>
      <c r="C27" s="294"/>
      <c r="D27" s="293"/>
      <c r="E27" s="294"/>
      <c r="F27" s="293"/>
    </row>
    <row r="28" spans="1:6">
      <c r="A28" s="292"/>
      <c r="B28" s="293"/>
      <c r="C28" s="294"/>
      <c r="D28" s="293"/>
      <c r="E28" s="294"/>
      <c r="F28" s="293"/>
    </row>
    <row r="29" spans="1:6">
      <c r="A29" s="292"/>
      <c r="B29" s="293"/>
      <c r="C29" s="294"/>
      <c r="D29" s="293"/>
      <c r="E29" s="294"/>
      <c r="F29" s="293"/>
    </row>
    <row r="30" spans="1:6">
      <c r="A30" s="292"/>
      <c r="B30" s="293"/>
      <c r="C30" s="294"/>
      <c r="D30" s="293"/>
      <c r="E30" s="294"/>
      <c r="F30" s="293"/>
    </row>
    <row r="31" spans="1:6">
      <c r="A31" s="292"/>
      <c r="B31" s="293"/>
      <c r="C31" s="294"/>
      <c r="D31" s="293"/>
      <c r="E31" s="294"/>
      <c r="F31" s="293"/>
    </row>
    <row r="32" spans="1:6">
      <c r="B32" s="293"/>
      <c r="C32" s="294"/>
      <c r="D32" s="293"/>
      <c r="E32" s="294"/>
      <c r="F32" s="293"/>
    </row>
    <row r="33" spans="2:6">
      <c r="B33" s="293"/>
      <c r="C33" s="294"/>
      <c r="D33" s="293"/>
      <c r="E33" s="294"/>
      <c r="F33" s="293"/>
    </row>
    <row r="34" spans="2:6">
      <c r="B34" s="293"/>
      <c r="C34" s="294"/>
      <c r="D34" s="293"/>
      <c r="E34" s="294"/>
      <c r="F34" s="293"/>
    </row>
    <row r="35" spans="2:6">
      <c r="B35" s="293"/>
      <c r="C35" s="294"/>
      <c r="D35" s="293"/>
      <c r="E35" s="294"/>
      <c r="F35" s="293"/>
    </row>
    <row r="36" spans="2:6">
      <c r="B36" s="293"/>
      <c r="C36" s="294"/>
      <c r="D36" s="293"/>
      <c r="E36" s="294"/>
      <c r="F36" s="293"/>
    </row>
    <row r="37" spans="2:6">
      <c r="B37" s="293"/>
      <c r="C37" s="294"/>
      <c r="D37" s="293"/>
      <c r="E37" s="294"/>
      <c r="F37" s="293"/>
    </row>
    <row r="38" spans="2:6">
      <c r="B38" s="293"/>
      <c r="C38" s="294"/>
      <c r="D38" s="293"/>
      <c r="E38" s="294"/>
      <c r="F38" s="293"/>
    </row>
    <row r="39" spans="2:6">
      <c r="B39" s="293"/>
      <c r="C39" s="294"/>
      <c r="D39" s="293"/>
      <c r="E39" s="294"/>
      <c r="F39" s="293"/>
    </row>
    <row r="40" spans="2:6">
      <c r="B40" s="293"/>
      <c r="C40" s="294"/>
      <c r="D40" s="293"/>
      <c r="E40" s="294"/>
      <c r="F40" s="293"/>
    </row>
    <row r="41" spans="2:6">
      <c r="B41" s="293"/>
      <c r="C41" s="294"/>
      <c r="D41" s="293"/>
      <c r="E41" s="294"/>
      <c r="F41" s="293"/>
    </row>
    <row r="42" spans="2:6">
      <c r="B42" s="293"/>
      <c r="C42" s="294"/>
      <c r="D42" s="293"/>
      <c r="E42" s="294"/>
      <c r="F42" s="293"/>
    </row>
    <row r="43" spans="2:6">
      <c r="B43" s="293"/>
      <c r="C43" s="294"/>
      <c r="D43" s="293"/>
      <c r="E43" s="294"/>
      <c r="F43" s="293"/>
    </row>
    <row r="44" spans="2:6">
      <c r="B44" s="293"/>
      <c r="C44" s="294"/>
      <c r="D44" s="293"/>
      <c r="E44" s="294"/>
      <c r="F44" s="293"/>
    </row>
    <row r="45" spans="2:6">
      <c r="B45" s="293"/>
      <c r="C45" s="294"/>
      <c r="D45" s="293"/>
      <c r="E45" s="294"/>
      <c r="F45" s="293"/>
    </row>
    <row r="46" spans="2:6">
      <c r="B46" s="293"/>
      <c r="C46" s="294"/>
      <c r="D46" s="293"/>
      <c r="E46" s="294"/>
      <c r="F46" s="293"/>
    </row>
    <row r="47" spans="2:6">
      <c r="B47" s="293"/>
      <c r="C47" s="294"/>
      <c r="D47" s="293"/>
      <c r="E47" s="294"/>
      <c r="F47" s="293"/>
    </row>
    <row r="48" spans="2:6">
      <c r="B48" s="293"/>
      <c r="C48" s="294"/>
      <c r="D48" s="293"/>
      <c r="E48" s="294"/>
      <c r="F48" s="293"/>
    </row>
    <row r="49" spans="2:6">
      <c r="B49" s="293"/>
      <c r="C49" s="294"/>
      <c r="D49" s="293"/>
      <c r="E49" s="294"/>
      <c r="F49" s="293"/>
    </row>
    <row r="50" spans="2:6">
      <c r="B50" s="293"/>
      <c r="C50" s="294"/>
      <c r="D50" s="293"/>
      <c r="E50" s="294"/>
      <c r="F50" s="293"/>
    </row>
    <row r="51" spans="2:6">
      <c r="B51" s="293"/>
      <c r="C51" s="294"/>
      <c r="D51" s="293"/>
      <c r="E51" s="294"/>
      <c r="F51" s="293"/>
    </row>
    <row r="52" spans="2:6">
      <c r="B52" s="293"/>
      <c r="C52" s="294"/>
      <c r="D52" s="293"/>
      <c r="E52" s="294"/>
      <c r="F52" s="293"/>
    </row>
    <row r="53" spans="2:6">
      <c r="B53" s="293"/>
      <c r="C53" s="294"/>
      <c r="D53" s="293"/>
      <c r="E53" s="294"/>
      <c r="F53" s="293"/>
    </row>
    <row r="54" spans="2:6">
      <c r="B54" s="293"/>
      <c r="C54" s="294"/>
      <c r="D54" s="293"/>
      <c r="E54" s="294"/>
      <c r="F54" s="293"/>
    </row>
    <row r="55" spans="2:6">
      <c r="B55" s="293"/>
      <c r="C55" s="294"/>
      <c r="D55" s="293"/>
      <c r="E55" s="294"/>
      <c r="F55" s="293"/>
    </row>
    <row r="56" spans="2:6">
      <c r="B56" s="293"/>
      <c r="C56" s="294"/>
      <c r="D56" s="293"/>
      <c r="E56" s="294"/>
      <c r="F56" s="293"/>
    </row>
    <row r="57" spans="2:6">
      <c r="B57" s="293"/>
      <c r="C57" s="294"/>
      <c r="D57" s="293"/>
      <c r="E57" s="294"/>
      <c r="F57" s="293"/>
    </row>
    <row r="58" spans="2:6">
      <c r="B58" s="293"/>
      <c r="C58" s="294"/>
      <c r="D58" s="293"/>
      <c r="E58" s="294"/>
      <c r="F58" s="293"/>
    </row>
    <row r="59" spans="2:6">
      <c r="B59" s="293"/>
      <c r="C59" s="294"/>
      <c r="D59" s="293"/>
      <c r="E59" s="294"/>
      <c r="F59" s="293"/>
    </row>
    <row r="60" spans="2:6">
      <c r="B60" s="293"/>
      <c r="C60" s="294"/>
      <c r="D60" s="293"/>
      <c r="E60" s="294"/>
      <c r="F60" s="293"/>
    </row>
    <row r="61" spans="2:6">
      <c r="B61" s="293"/>
      <c r="C61" s="294"/>
      <c r="D61" s="293"/>
      <c r="E61" s="294"/>
      <c r="F61" s="293"/>
    </row>
    <row r="62" spans="2:6">
      <c r="B62" s="293"/>
      <c r="C62" s="294"/>
      <c r="D62" s="293"/>
      <c r="E62" s="294"/>
      <c r="F62" s="293"/>
    </row>
    <row r="63" spans="2:6">
      <c r="B63" s="293"/>
      <c r="C63" s="294"/>
      <c r="D63" s="293"/>
      <c r="E63" s="294"/>
      <c r="F63" s="293"/>
    </row>
    <row r="64" spans="2:6">
      <c r="B64" s="293"/>
      <c r="C64" s="294"/>
      <c r="D64" s="293"/>
      <c r="E64" s="294"/>
      <c r="F64" s="293"/>
    </row>
    <row r="65" spans="2:6">
      <c r="B65" s="293"/>
      <c r="C65" s="294"/>
      <c r="D65" s="293"/>
      <c r="E65" s="294"/>
      <c r="F65" s="293"/>
    </row>
    <row r="66" spans="2:6">
      <c r="B66" s="293"/>
      <c r="C66" s="294"/>
      <c r="D66" s="293"/>
      <c r="E66" s="294"/>
      <c r="F66" s="293"/>
    </row>
    <row r="67" spans="2:6">
      <c r="B67" s="293"/>
      <c r="C67" s="294"/>
      <c r="D67" s="293"/>
      <c r="E67" s="294"/>
      <c r="F67" s="293"/>
    </row>
    <row r="68" spans="2:6">
      <c r="B68" s="293"/>
      <c r="C68" s="294"/>
      <c r="D68" s="293"/>
      <c r="E68" s="294"/>
      <c r="F68" s="293"/>
    </row>
    <row r="69" spans="2:6">
      <c r="B69" s="293"/>
      <c r="C69" s="294"/>
      <c r="D69" s="293"/>
      <c r="E69" s="294"/>
      <c r="F69" s="293"/>
    </row>
    <row r="70" spans="2:6">
      <c r="B70" s="293"/>
      <c r="C70" s="294"/>
      <c r="D70" s="293"/>
      <c r="E70" s="294"/>
      <c r="F70" s="293"/>
    </row>
    <row r="71" spans="2:6">
      <c r="B71" s="293"/>
      <c r="C71" s="294"/>
      <c r="D71" s="293"/>
      <c r="E71" s="294"/>
      <c r="F71" s="293"/>
    </row>
    <row r="72" spans="2:6">
      <c r="B72" s="293"/>
      <c r="C72" s="294"/>
      <c r="D72" s="293"/>
      <c r="E72" s="294"/>
      <c r="F72" s="293"/>
    </row>
    <row r="73" spans="2:6">
      <c r="B73" s="293"/>
      <c r="C73" s="294"/>
      <c r="D73" s="293"/>
      <c r="E73" s="294"/>
      <c r="F73" s="293"/>
    </row>
    <row r="74" spans="2:6">
      <c r="B74" s="293"/>
      <c r="C74" s="294"/>
      <c r="D74" s="293"/>
      <c r="E74" s="294"/>
      <c r="F74" s="293"/>
    </row>
    <row r="75" spans="2:6">
      <c r="B75" s="293"/>
      <c r="C75" s="294"/>
      <c r="D75" s="293"/>
      <c r="E75" s="294"/>
      <c r="F75" s="293"/>
    </row>
    <row r="76" spans="2:6">
      <c r="B76" s="293"/>
      <c r="C76" s="294"/>
      <c r="D76" s="293"/>
      <c r="E76" s="294"/>
      <c r="F76" s="293"/>
    </row>
    <row r="77" spans="2:6">
      <c r="B77" s="293"/>
      <c r="C77" s="294"/>
      <c r="D77" s="293"/>
      <c r="E77" s="294"/>
      <c r="F77" s="293"/>
    </row>
    <row r="78" spans="2:6">
      <c r="B78" s="293"/>
      <c r="C78" s="294"/>
      <c r="D78" s="293"/>
      <c r="E78" s="294"/>
      <c r="F78" s="293"/>
    </row>
    <row r="79" spans="2:6">
      <c r="B79" s="293"/>
      <c r="C79" s="294"/>
      <c r="D79" s="293"/>
      <c r="E79" s="294"/>
      <c r="F79" s="293"/>
    </row>
    <row r="80" spans="2:6">
      <c r="B80" s="293"/>
      <c r="C80" s="294"/>
      <c r="D80" s="293"/>
      <c r="E80" s="294"/>
      <c r="F80" s="293"/>
    </row>
    <row r="81" spans="2:6">
      <c r="B81" s="293"/>
      <c r="C81" s="294"/>
      <c r="D81" s="293"/>
      <c r="E81" s="294"/>
      <c r="F81" s="293"/>
    </row>
    <row r="82" spans="2:6">
      <c r="B82" s="293"/>
      <c r="C82" s="294"/>
      <c r="D82" s="293"/>
      <c r="E82" s="294"/>
      <c r="F82" s="293"/>
    </row>
    <row r="83" spans="2:6">
      <c r="B83" s="293"/>
      <c r="C83" s="294"/>
      <c r="D83" s="293"/>
      <c r="E83" s="294"/>
      <c r="F83" s="293"/>
    </row>
    <row r="84" spans="2:6">
      <c r="B84" s="293"/>
      <c r="C84" s="294"/>
      <c r="D84" s="293"/>
      <c r="E84" s="294"/>
      <c r="F84" s="293"/>
    </row>
    <row r="85" spans="2:6">
      <c r="B85" s="293"/>
      <c r="C85" s="294"/>
      <c r="D85" s="293"/>
      <c r="E85" s="294"/>
      <c r="F85" s="293"/>
    </row>
    <row r="86" spans="2:6">
      <c r="B86" s="293"/>
      <c r="C86" s="294"/>
      <c r="D86" s="293"/>
      <c r="E86" s="294"/>
      <c r="F86" s="293"/>
    </row>
    <row r="87" spans="2:6">
      <c r="B87" s="293"/>
      <c r="C87" s="294"/>
      <c r="D87" s="293"/>
      <c r="E87" s="294"/>
      <c r="F87" s="293"/>
    </row>
    <row r="88" spans="2:6">
      <c r="B88" s="293"/>
      <c r="C88" s="294"/>
      <c r="D88" s="293"/>
      <c r="E88" s="294"/>
      <c r="F88" s="293"/>
    </row>
    <row r="89" spans="2:6">
      <c r="B89" s="293"/>
      <c r="C89" s="294"/>
      <c r="D89" s="293"/>
      <c r="E89" s="294"/>
      <c r="F89" s="293"/>
    </row>
    <row r="90" spans="2:6">
      <c r="B90" s="293"/>
      <c r="C90" s="294"/>
      <c r="D90" s="293"/>
      <c r="E90" s="294"/>
      <c r="F90" s="293"/>
    </row>
    <row r="91" spans="2:6">
      <c r="B91" s="293"/>
      <c r="C91" s="294"/>
      <c r="D91" s="293"/>
      <c r="E91" s="294"/>
      <c r="F91" s="293"/>
    </row>
    <row r="92" spans="2:6">
      <c r="B92" s="293"/>
      <c r="C92" s="294"/>
      <c r="D92" s="293"/>
      <c r="E92" s="294"/>
      <c r="F92" s="293"/>
    </row>
    <row r="93" spans="2:6">
      <c r="B93" s="293"/>
      <c r="C93" s="294"/>
      <c r="D93" s="293"/>
      <c r="E93" s="294"/>
      <c r="F93" s="293"/>
    </row>
    <row r="94" spans="2:6">
      <c r="B94" s="293"/>
      <c r="C94" s="294"/>
      <c r="D94" s="293"/>
      <c r="E94" s="294"/>
      <c r="F94" s="293"/>
    </row>
    <row r="95" spans="2:6">
      <c r="B95" s="293"/>
      <c r="C95" s="294"/>
      <c r="D95" s="293"/>
      <c r="E95" s="294"/>
      <c r="F95" s="293"/>
    </row>
    <row r="96" spans="2:6">
      <c r="B96" s="293"/>
      <c r="C96" s="294"/>
      <c r="D96" s="293"/>
      <c r="E96" s="294"/>
      <c r="F96" s="293"/>
    </row>
    <row r="97" spans="2:6">
      <c r="B97" s="293"/>
      <c r="C97" s="294"/>
      <c r="D97" s="293"/>
      <c r="E97" s="294"/>
      <c r="F97" s="293"/>
    </row>
    <row r="98" spans="2:6">
      <c r="B98" s="293"/>
      <c r="C98" s="294"/>
      <c r="D98" s="293"/>
      <c r="E98" s="294"/>
      <c r="F98" s="293"/>
    </row>
    <row r="99" spans="2:6">
      <c r="B99" s="293"/>
      <c r="C99" s="294"/>
      <c r="D99" s="293"/>
      <c r="E99" s="294"/>
      <c r="F99" s="293"/>
    </row>
    <row r="100" spans="2:6">
      <c r="B100" s="293"/>
      <c r="C100" s="294"/>
      <c r="D100" s="293"/>
      <c r="E100" s="294"/>
      <c r="F100" s="293"/>
    </row>
    <row r="101" spans="2:6">
      <c r="B101" s="293"/>
      <c r="C101" s="294"/>
      <c r="D101" s="293"/>
      <c r="E101" s="294"/>
      <c r="F101" s="293"/>
    </row>
    <row r="102" spans="2:6">
      <c r="B102" s="293"/>
      <c r="C102" s="294"/>
      <c r="D102" s="293"/>
      <c r="E102" s="294"/>
      <c r="F102" s="293"/>
    </row>
    <row r="103" spans="2:6">
      <c r="B103" s="293"/>
      <c r="C103" s="294"/>
      <c r="D103" s="293"/>
      <c r="E103" s="294"/>
      <c r="F103" s="293"/>
    </row>
    <row r="104" spans="2:6">
      <c r="B104" s="293"/>
      <c r="C104" s="294"/>
      <c r="D104" s="293"/>
      <c r="E104" s="294"/>
      <c r="F104" s="293"/>
    </row>
    <row r="105" spans="2:6">
      <c r="B105" s="293"/>
      <c r="C105" s="294"/>
      <c r="D105" s="293"/>
      <c r="E105" s="294"/>
      <c r="F105" s="293"/>
    </row>
    <row r="106" spans="2:6">
      <c r="B106" s="293"/>
      <c r="C106" s="294"/>
      <c r="D106" s="293"/>
      <c r="E106" s="294"/>
      <c r="F106" s="293"/>
    </row>
    <row r="107" spans="2:6">
      <c r="B107" s="293"/>
      <c r="C107" s="294"/>
      <c r="D107" s="293"/>
      <c r="E107" s="294"/>
      <c r="F107" s="293"/>
    </row>
    <row r="108" spans="2:6">
      <c r="B108" s="293"/>
      <c r="C108" s="294"/>
      <c r="D108" s="293"/>
      <c r="E108" s="294"/>
      <c r="F108" s="293"/>
    </row>
    <row r="109" spans="2:6">
      <c r="B109" s="293"/>
      <c r="C109" s="294"/>
      <c r="D109" s="293"/>
      <c r="E109" s="294"/>
      <c r="F109" s="293"/>
    </row>
    <row r="110" spans="2:6">
      <c r="B110" s="293"/>
      <c r="C110" s="294"/>
      <c r="D110" s="293"/>
      <c r="E110" s="294"/>
      <c r="F110" s="293"/>
    </row>
    <row r="111" spans="2:6">
      <c r="B111" s="293"/>
      <c r="C111" s="294"/>
      <c r="D111" s="293"/>
      <c r="E111" s="294"/>
      <c r="F111" s="293"/>
    </row>
    <row r="112" spans="2:6">
      <c r="B112" s="293"/>
      <c r="C112" s="294"/>
      <c r="D112" s="293"/>
      <c r="E112" s="294"/>
      <c r="F112" s="293"/>
    </row>
    <row r="113" spans="2:6">
      <c r="B113" s="293"/>
      <c r="C113" s="294"/>
      <c r="D113" s="293"/>
      <c r="E113" s="294"/>
      <c r="F113" s="293"/>
    </row>
    <row r="114" spans="2:6">
      <c r="B114" s="293"/>
      <c r="C114" s="294"/>
      <c r="D114" s="293"/>
      <c r="E114" s="294"/>
      <c r="F114" s="293"/>
    </row>
    <row r="115" spans="2:6">
      <c r="B115" s="293"/>
      <c r="C115" s="294"/>
      <c r="D115" s="293"/>
      <c r="E115" s="294"/>
      <c r="F115" s="293"/>
    </row>
    <row r="116" spans="2:6">
      <c r="B116" s="293"/>
      <c r="C116" s="294"/>
      <c r="D116" s="293"/>
      <c r="E116" s="294"/>
      <c r="F116" s="293"/>
    </row>
    <row r="117" spans="2:6">
      <c r="B117" s="293"/>
      <c r="C117" s="294"/>
      <c r="D117" s="293"/>
      <c r="E117" s="294"/>
      <c r="F117" s="293"/>
    </row>
    <row r="118" spans="2:6">
      <c r="B118" s="293"/>
      <c r="C118" s="294"/>
      <c r="D118" s="293"/>
      <c r="E118" s="294"/>
      <c r="F118" s="293"/>
    </row>
    <row r="119" spans="2:6">
      <c r="B119" s="293"/>
      <c r="C119" s="294"/>
      <c r="D119" s="293"/>
      <c r="E119" s="294"/>
      <c r="F119" s="293"/>
    </row>
    <row r="120" spans="2:6">
      <c r="B120" s="293"/>
      <c r="C120" s="294"/>
      <c r="D120" s="293"/>
      <c r="E120" s="294"/>
      <c r="F120" s="293"/>
    </row>
    <row r="121" spans="2:6">
      <c r="B121" s="293"/>
      <c r="C121" s="294"/>
      <c r="D121" s="293"/>
      <c r="E121" s="294"/>
      <c r="F121" s="293"/>
    </row>
    <row r="122" spans="2:6">
      <c r="B122" s="293"/>
      <c r="C122" s="294"/>
      <c r="D122" s="293"/>
      <c r="E122" s="294"/>
      <c r="F122" s="293"/>
    </row>
    <row r="123" spans="2:6">
      <c r="B123" s="293"/>
      <c r="C123" s="294"/>
      <c r="D123" s="293"/>
      <c r="E123" s="294"/>
      <c r="F123" s="293"/>
    </row>
    <row r="124" spans="2:6">
      <c r="B124" s="293"/>
      <c r="C124" s="294"/>
      <c r="D124" s="293"/>
      <c r="E124" s="294"/>
      <c r="F124" s="293"/>
    </row>
    <row r="125" spans="2:6">
      <c r="B125" s="293"/>
      <c r="C125" s="294"/>
      <c r="D125" s="293"/>
      <c r="E125" s="294"/>
      <c r="F125" s="293"/>
    </row>
    <row r="126" spans="2:6">
      <c r="B126" s="293"/>
      <c r="C126" s="294"/>
      <c r="D126" s="293"/>
      <c r="E126" s="294"/>
      <c r="F126" s="293"/>
    </row>
    <row r="127" spans="2:6">
      <c r="B127" s="292"/>
      <c r="C127" s="295"/>
      <c r="D127" s="292"/>
      <c r="E127" s="295"/>
      <c r="F127" s="292"/>
    </row>
    <row r="128" spans="2:6">
      <c r="B128" s="292"/>
      <c r="C128" s="295"/>
      <c r="D128" s="292"/>
      <c r="E128" s="295"/>
      <c r="F128" s="292"/>
    </row>
    <row r="129" spans="2:6">
      <c r="B129" s="292"/>
      <c r="C129" s="295"/>
      <c r="D129" s="292"/>
      <c r="E129" s="295"/>
      <c r="F129" s="292"/>
    </row>
    <row r="130" spans="2:6">
      <c r="B130" s="292"/>
      <c r="C130" s="295"/>
      <c r="D130" s="292"/>
      <c r="E130" s="295"/>
      <c r="F130" s="292"/>
    </row>
    <row r="131" spans="2:6">
      <c r="B131" s="292"/>
      <c r="C131" s="295"/>
      <c r="D131" s="292"/>
      <c r="E131" s="295"/>
      <c r="F131" s="292"/>
    </row>
    <row r="132" spans="2:6">
      <c r="B132" s="292"/>
      <c r="C132" s="295"/>
      <c r="D132" s="292"/>
      <c r="E132" s="295"/>
      <c r="F132" s="292"/>
    </row>
    <row r="133" spans="2:6">
      <c r="B133" s="292"/>
      <c r="C133" s="295"/>
      <c r="D133" s="292"/>
      <c r="E133" s="295"/>
      <c r="F133" s="292"/>
    </row>
    <row r="134" spans="2:6">
      <c r="B134" s="292"/>
      <c r="C134" s="295"/>
      <c r="D134" s="292"/>
      <c r="E134" s="295"/>
      <c r="F134" s="292"/>
    </row>
    <row r="135" spans="2:6">
      <c r="B135" s="292"/>
      <c r="C135" s="295"/>
      <c r="D135" s="292"/>
      <c r="E135" s="295"/>
      <c r="F135" s="292"/>
    </row>
    <row r="136" spans="2:6">
      <c r="B136" s="292"/>
      <c r="C136" s="295"/>
      <c r="D136" s="292"/>
      <c r="E136" s="295"/>
      <c r="F136" s="292"/>
    </row>
    <row r="137" spans="2:6">
      <c r="B137" s="292"/>
      <c r="C137" s="295"/>
      <c r="D137" s="292"/>
      <c r="E137" s="295"/>
      <c r="F137" s="292"/>
    </row>
    <row r="138" spans="2:6">
      <c r="B138" s="292"/>
      <c r="C138" s="295"/>
      <c r="D138" s="292"/>
      <c r="E138" s="295"/>
      <c r="F138" s="292"/>
    </row>
    <row r="139" spans="2:6">
      <c r="B139" s="292"/>
      <c r="C139" s="295"/>
      <c r="D139" s="292"/>
      <c r="E139" s="295"/>
      <c r="F139" s="292"/>
    </row>
    <row r="140" spans="2:6">
      <c r="B140" s="292"/>
      <c r="C140" s="295"/>
      <c r="D140" s="292"/>
      <c r="E140" s="295"/>
      <c r="F140" s="292"/>
    </row>
    <row r="141" spans="2:6">
      <c r="B141" s="292"/>
      <c r="C141" s="295"/>
      <c r="D141" s="292"/>
      <c r="E141" s="295"/>
      <c r="F141" s="292"/>
    </row>
    <row r="142" spans="2:6">
      <c r="B142" s="292"/>
      <c r="C142" s="295"/>
      <c r="D142" s="292"/>
      <c r="E142" s="295"/>
      <c r="F142" s="292"/>
    </row>
    <row r="143" spans="2:6">
      <c r="B143" s="292"/>
      <c r="C143" s="295"/>
      <c r="D143" s="292"/>
      <c r="E143" s="295"/>
      <c r="F143" s="292"/>
    </row>
    <row r="144" spans="2:6">
      <c r="B144" s="292"/>
      <c r="C144" s="295"/>
      <c r="D144" s="292"/>
      <c r="E144" s="295"/>
      <c r="F144" s="292"/>
    </row>
    <row r="145" spans="2:6">
      <c r="B145" s="292"/>
      <c r="C145" s="295"/>
      <c r="D145" s="292"/>
      <c r="E145" s="295"/>
      <c r="F145" s="292"/>
    </row>
    <row r="146" spans="2:6">
      <c r="B146" s="292"/>
      <c r="C146" s="295"/>
      <c r="D146" s="292"/>
      <c r="E146" s="295"/>
      <c r="F146" s="292"/>
    </row>
    <row r="147" spans="2:6">
      <c r="B147" s="292"/>
      <c r="C147" s="295"/>
      <c r="D147" s="292"/>
      <c r="E147" s="295"/>
      <c r="F147" s="292"/>
    </row>
    <row r="148" spans="2:6">
      <c r="B148" s="292"/>
      <c r="C148" s="295"/>
      <c r="D148" s="292"/>
      <c r="E148" s="295"/>
      <c r="F148" s="292"/>
    </row>
    <row r="149" spans="2:6">
      <c r="B149" s="292"/>
      <c r="C149" s="295"/>
      <c r="D149" s="292"/>
      <c r="E149" s="295"/>
      <c r="F149" s="292"/>
    </row>
    <row r="150" spans="2:6">
      <c r="B150" s="292"/>
      <c r="C150" s="295"/>
      <c r="D150" s="292"/>
      <c r="E150" s="295"/>
      <c r="F150" s="292"/>
    </row>
    <row r="151" spans="2:6">
      <c r="B151" s="292"/>
      <c r="C151" s="295"/>
      <c r="D151" s="292"/>
      <c r="E151" s="295"/>
      <c r="F151" s="292"/>
    </row>
    <row r="152" spans="2:6">
      <c r="B152" s="292"/>
      <c r="C152" s="295"/>
      <c r="D152" s="292"/>
      <c r="E152" s="295"/>
      <c r="F152" s="292"/>
    </row>
    <row r="153" spans="2:6">
      <c r="B153" s="292"/>
      <c r="C153" s="295"/>
      <c r="D153" s="292"/>
      <c r="E153" s="295"/>
      <c r="F153" s="292"/>
    </row>
    <row r="154" spans="2:6">
      <c r="B154" s="292"/>
      <c r="C154" s="295"/>
      <c r="D154" s="292"/>
      <c r="E154" s="295"/>
      <c r="F154" s="292"/>
    </row>
    <row r="155" spans="2:6">
      <c r="B155" s="292"/>
      <c r="C155" s="295"/>
      <c r="D155" s="292"/>
      <c r="E155" s="295"/>
      <c r="F155" s="292"/>
    </row>
    <row r="156" spans="2:6">
      <c r="B156" s="292"/>
      <c r="C156" s="295"/>
      <c r="D156" s="292"/>
      <c r="E156" s="295"/>
      <c r="F156" s="292"/>
    </row>
    <row r="157" spans="2:6">
      <c r="B157" s="292"/>
      <c r="C157" s="295"/>
      <c r="D157" s="292"/>
      <c r="E157" s="295"/>
      <c r="F157" s="292"/>
    </row>
    <row r="158" spans="2:6">
      <c r="B158" s="292"/>
      <c r="C158" s="295"/>
      <c r="D158" s="292"/>
      <c r="E158" s="295"/>
      <c r="F158" s="292"/>
    </row>
    <row r="159" spans="2:6">
      <c r="B159" s="292"/>
      <c r="C159" s="295"/>
      <c r="D159" s="292"/>
      <c r="E159" s="295"/>
      <c r="F159" s="292"/>
    </row>
    <row r="160" spans="2:6">
      <c r="B160" s="292"/>
      <c r="C160" s="295"/>
      <c r="D160" s="292"/>
      <c r="E160" s="295"/>
      <c r="F160" s="292"/>
    </row>
    <row r="161" spans="2:6">
      <c r="B161" s="292"/>
      <c r="C161" s="295"/>
      <c r="D161" s="292"/>
      <c r="E161" s="295"/>
      <c r="F161" s="292"/>
    </row>
    <row r="162" spans="2:6">
      <c r="B162" s="292"/>
      <c r="C162" s="295"/>
      <c r="D162" s="292"/>
      <c r="E162" s="295"/>
      <c r="F162" s="292"/>
    </row>
    <row r="163" spans="2:6">
      <c r="B163" s="292"/>
      <c r="C163" s="295"/>
      <c r="D163" s="292"/>
      <c r="E163" s="295"/>
      <c r="F163" s="292"/>
    </row>
    <row r="164" spans="2:6">
      <c r="B164" s="292"/>
      <c r="C164" s="295"/>
      <c r="D164" s="292"/>
      <c r="E164" s="295"/>
      <c r="F164" s="292"/>
    </row>
    <row r="165" spans="2:6">
      <c r="B165" s="292"/>
      <c r="C165" s="295"/>
      <c r="D165" s="292"/>
      <c r="E165" s="295"/>
      <c r="F165" s="292"/>
    </row>
    <row r="166" spans="2:6">
      <c r="B166" s="292"/>
      <c r="C166" s="295"/>
      <c r="D166" s="292"/>
      <c r="E166" s="295"/>
      <c r="F166" s="292"/>
    </row>
    <row r="167" spans="2:6">
      <c r="B167" s="292"/>
      <c r="C167" s="295"/>
      <c r="D167" s="292"/>
      <c r="E167" s="295"/>
      <c r="F167" s="292"/>
    </row>
    <row r="168" spans="2:6">
      <c r="B168" s="292"/>
      <c r="C168" s="295"/>
      <c r="D168" s="292"/>
      <c r="E168" s="295"/>
      <c r="F168" s="292"/>
    </row>
    <row r="169" spans="2:6">
      <c r="B169" s="292"/>
      <c r="C169" s="295"/>
      <c r="D169" s="292"/>
      <c r="E169" s="295"/>
      <c r="F169" s="292"/>
    </row>
    <row r="170" spans="2:6">
      <c r="B170" s="292"/>
      <c r="C170" s="295"/>
      <c r="D170" s="292"/>
      <c r="E170" s="295"/>
      <c r="F170" s="292"/>
    </row>
    <row r="171" spans="2:6">
      <c r="B171" s="292"/>
      <c r="C171" s="295"/>
      <c r="D171" s="292"/>
      <c r="E171" s="295"/>
      <c r="F171" s="292"/>
    </row>
    <row r="172" spans="2:6">
      <c r="B172" s="292"/>
      <c r="C172" s="295"/>
      <c r="D172" s="292"/>
      <c r="E172" s="295"/>
      <c r="F172" s="292"/>
    </row>
    <row r="173" spans="2:6">
      <c r="B173" s="292"/>
      <c r="C173" s="295"/>
      <c r="D173" s="292"/>
      <c r="E173" s="295"/>
      <c r="F173" s="292"/>
    </row>
    <row r="174" spans="2:6">
      <c r="B174" s="292"/>
      <c r="C174" s="295"/>
      <c r="D174" s="292"/>
      <c r="E174" s="295"/>
      <c r="F174" s="292"/>
    </row>
    <row r="175" spans="2:6">
      <c r="B175" s="292"/>
      <c r="C175" s="295"/>
      <c r="D175" s="292"/>
      <c r="E175" s="295"/>
      <c r="F175" s="292"/>
    </row>
    <row r="176" spans="2:6">
      <c r="B176" s="292"/>
      <c r="C176" s="295"/>
      <c r="D176" s="292"/>
      <c r="E176" s="295"/>
      <c r="F176" s="292"/>
    </row>
    <row r="177" spans="2:6">
      <c r="B177" s="292"/>
      <c r="C177" s="295"/>
      <c r="D177" s="292"/>
      <c r="E177" s="295"/>
      <c r="F177" s="292"/>
    </row>
    <row r="178" spans="2:6">
      <c r="B178" s="292"/>
      <c r="C178" s="295"/>
      <c r="D178" s="292"/>
      <c r="E178" s="295"/>
      <c r="F178" s="292"/>
    </row>
    <row r="179" spans="2:6">
      <c r="B179" s="292"/>
      <c r="C179" s="295"/>
      <c r="D179" s="292"/>
      <c r="E179" s="295"/>
      <c r="F179" s="292"/>
    </row>
    <row r="180" spans="2:6">
      <c r="B180" s="292"/>
      <c r="C180" s="295"/>
      <c r="D180" s="292"/>
      <c r="E180" s="295"/>
      <c r="F180" s="292"/>
    </row>
    <row r="181" spans="2:6">
      <c r="B181" s="292"/>
      <c r="C181" s="295"/>
      <c r="D181" s="292"/>
      <c r="E181" s="295"/>
      <c r="F181" s="292"/>
    </row>
    <row r="182" spans="2:6">
      <c r="B182" s="292"/>
      <c r="C182" s="295"/>
      <c r="D182" s="292"/>
      <c r="E182" s="295"/>
      <c r="F182" s="292"/>
    </row>
    <row r="183" spans="2:6">
      <c r="B183" s="292"/>
      <c r="C183" s="295"/>
      <c r="D183" s="292"/>
      <c r="E183" s="295"/>
      <c r="F183" s="292"/>
    </row>
    <row r="184" spans="2:6">
      <c r="B184" s="292"/>
      <c r="C184" s="295"/>
      <c r="D184" s="292"/>
      <c r="E184" s="295"/>
      <c r="F184" s="292"/>
    </row>
    <row r="185" spans="2:6">
      <c r="B185" s="292"/>
      <c r="C185" s="295"/>
      <c r="D185" s="292"/>
      <c r="E185" s="295"/>
      <c r="F185" s="292"/>
    </row>
    <row r="186" spans="2:6">
      <c r="B186" s="292"/>
      <c r="C186" s="295"/>
      <c r="D186" s="292"/>
      <c r="E186" s="295"/>
      <c r="F186" s="292"/>
    </row>
    <row r="187" spans="2:6">
      <c r="B187" s="292"/>
      <c r="C187" s="295"/>
      <c r="D187" s="292"/>
      <c r="E187" s="295"/>
      <c r="F187" s="292"/>
    </row>
    <row r="188" spans="2:6">
      <c r="B188" s="292"/>
      <c r="C188" s="295"/>
      <c r="D188" s="292"/>
      <c r="E188" s="295"/>
      <c r="F188" s="292"/>
    </row>
    <row r="189" spans="2:6">
      <c r="B189" s="292"/>
      <c r="C189" s="295"/>
      <c r="D189" s="292"/>
      <c r="E189" s="295"/>
      <c r="F189" s="292"/>
    </row>
    <row r="190" spans="2:6">
      <c r="B190" s="292"/>
      <c r="C190" s="295"/>
      <c r="D190" s="292"/>
      <c r="E190" s="295"/>
      <c r="F190" s="292"/>
    </row>
    <row r="191" spans="2:6">
      <c r="B191" s="292"/>
      <c r="C191" s="295"/>
      <c r="D191" s="292"/>
      <c r="E191" s="295"/>
      <c r="F191" s="292"/>
    </row>
    <row r="192" spans="2:6">
      <c r="B192" s="292"/>
      <c r="C192" s="295"/>
      <c r="D192" s="292"/>
      <c r="E192" s="295"/>
      <c r="F192" s="292"/>
    </row>
    <row r="193" spans="2:6">
      <c r="B193" s="292"/>
      <c r="C193" s="295"/>
      <c r="D193" s="292"/>
      <c r="E193" s="295"/>
      <c r="F193" s="292"/>
    </row>
    <row r="194" spans="2:6">
      <c r="B194" s="292"/>
      <c r="C194" s="295"/>
      <c r="D194" s="292"/>
      <c r="E194" s="295"/>
      <c r="F194" s="292"/>
    </row>
    <row r="195" spans="2:6">
      <c r="B195" s="292"/>
      <c r="C195" s="295"/>
      <c r="D195" s="292"/>
      <c r="E195" s="295"/>
      <c r="F195" s="292"/>
    </row>
    <row r="196" spans="2:6">
      <c r="B196" s="292"/>
      <c r="C196" s="295"/>
      <c r="D196" s="292"/>
      <c r="E196" s="295"/>
      <c r="F196" s="292"/>
    </row>
    <row r="197" spans="2:6">
      <c r="B197" s="292"/>
      <c r="C197" s="295"/>
      <c r="D197" s="292"/>
      <c r="E197" s="295"/>
      <c r="F197" s="292"/>
    </row>
    <row r="198" spans="2:6">
      <c r="B198" s="292"/>
      <c r="C198" s="295"/>
      <c r="D198" s="292"/>
      <c r="E198" s="295"/>
      <c r="F198" s="292"/>
    </row>
    <row r="199" spans="2:6">
      <c r="B199" s="292"/>
      <c r="C199" s="295"/>
      <c r="D199" s="292"/>
      <c r="E199" s="295"/>
      <c r="F199" s="292"/>
    </row>
    <row r="200" spans="2:6">
      <c r="B200" s="292"/>
      <c r="C200" s="295"/>
      <c r="D200" s="292"/>
      <c r="E200" s="295"/>
      <c r="F200" s="292"/>
    </row>
    <row r="201" spans="2:6">
      <c r="B201" s="292"/>
      <c r="C201" s="295"/>
      <c r="D201" s="292"/>
      <c r="E201" s="295"/>
      <c r="F201" s="292"/>
    </row>
    <row r="202" spans="2:6">
      <c r="B202" s="292"/>
      <c r="C202" s="295"/>
      <c r="D202" s="292"/>
      <c r="E202" s="295"/>
      <c r="F202" s="292"/>
    </row>
    <row r="203" spans="2:6">
      <c r="B203" s="292"/>
      <c r="C203" s="295"/>
      <c r="D203" s="292"/>
      <c r="E203" s="295"/>
      <c r="F203" s="292"/>
    </row>
    <row r="204" spans="2:6">
      <c r="B204" s="292"/>
      <c r="C204" s="295"/>
      <c r="D204" s="292"/>
      <c r="E204" s="295"/>
      <c r="F204" s="292"/>
    </row>
    <row r="205" spans="2:6">
      <c r="B205" s="292"/>
      <c r="C205" s="295"/>
      <c r="D205" s="292"/>
      <c r="E205" s="295"/>
      <c r="F205" s="292"/>
    </row>
    <row r="206" spans="2:6">
      <c r="B206" s="292"/>
      <c r="C206" s="295"/>
      <c r="D206" s="292"/>
      <c r="E206" s="295"/>
      <c r="F206" s="292"/>
    </row>
    <row r="207" spans="2:6">
      <c r="B207" s="292"/>
      <c r="C207" s="295"/>
      <c r="D207" s="292"/>
      <c r="E207" s="295"/>
      <c r="F207" s="292"/>
    </row>
    <row r="208" spans="2:6">
      <c r="B208" s="292"/>
      <c r="C208" s="295"/>
      <c r="D208" s="292"/>
      <c r="E208" s="295"/>
      <c r="F208" s="292"/>
    </row>
    <row r="209" spans="2:6">
      <c r="B209" s="292"/>
      <c r="C209" s="295"/>
      <c r="D209" s="292"/>
      <c r="E209" s="295"/>
      <c r="F209" s="292"/>
    </row>
    <row r="210" spans="2:6">
      <c r="B210" s="292"/>
      <c r="C210" s="295"/>
      <c r="D210" s="292"/>
      <c r="E210" s="295"/>
      <c r="F210" s="292"/>
    </row>
    <row r="211" spans="2:6">
      <c r="B211" s="292"/>
      <c r="C211" s="295"/>
      <c r="D211" s="292"/>
      <c r="E211" s="295"/>
      <c r="F211" s="292"/>
    </row>
    <row r="212" spans="2:6">
      <c r="B212" s="292"/>
      <c r="C212" s="295"/>
      <c r="D212" s="292"/>
      <c r="E212" s="295"/>
      <c r="F212" s="292"/>
    </row>
    <row r="213" spans="2:6">
      <c r="B213" s="292"/>
      <c r="C213" s="295"/>
      <c r="D213" s="292"/>
      <c r="E213" s="295"/>
      <c r="F213" s="292"/>
    </row>
    <row r="214" spans="2:6">
      <c r="B214" s="292"/>
      <c r="C214" s="295"/>
      <c r="D214" s="292"/>
      <c r="E214" s="295"/>
      <c r="F214" s="292"/>
    </row>
    <row r="215" spans="2:6">
      <c r="B215" s="292"/>
      <c r="C215" s="295"/>
      <c r="D215" s="292"/>
      <c r="E215" s="295"/>
      <c r="F215" s="292"/>
    </row>
    <row r="216" spans="2:6">
      <c r="B216" s="292"/>
      <c r="C216" s="295"/>
      <c r="D216" s="292"/>
      <c r="E216" s="295"/>
      <c r="F216" s="292"/>
    </row>
    <row r="217" spans="2:6">
      <c r="B217" s="292"/>
      <c r="C217" s="295"/>
      <c r="D217" s="292"/>
      <c r="E217" s="295"/>
      <c r="F217" s="292"/>
    </row>
    <row r="218" spans="2:6">
      <c r="B218" s="292"/>
      <c r="C218" s="295"/>
      <c r="D218" s="292"/>
      <c r="E218" s="295"/>
      <c r="F218" s="292"/>
    </row>
    <row r="219" spans="2:6">
      <c r="B219" s="292"/>
      <c r="C219" s="295"/>
      <c r="D219" s="292"/>
      <c r="E219" s="295"/>
      <c r="F219" s="292"/>
    </row>
    <row r="220" spans="2:6">
      <c r="B220" s="292"/>
      <c r="C220" s="295"/>
      <c r="D220" s="292"/>
      <c r="E220" s="295"/>
      <c r="F220" s="292"/>
    </row>
    <row r="221" spans="2:6">
      <c r="B221" s="292"/>
      <c r="C221" s="295"/>
      <c r="D221" s="292"/>
      <c r="E221" s="295"/>
      <c r="F221" s="292"/>
    </row>
    <row r="222" spans="2:6">
      <c r="B222" s="292"/>
      <c r="C222" s="295"/>
      <c r="D222" s="292"/>
      <c r="E222" s="295"/>
      <c r="F222" s="292"/>
    </row>
    <row r="223" spans="2:6">
      <c r="B223" s="292"/>
      <c r="C223" s="295"/>
      <c r="D223" s="292"/>
      <c r="E223" s="295"/>
      <c r="F223" s="292"/>
    </row>
    <row r="224" spans="2:6">
      <c r="B224" s="292"/>
      <c r="C224" s="295"/>
      <c r="D224" s="292"/>
      <c r="E224" s="295"/>
      <c r="F224" s="292"/>
    </row>
    <row r="225" spans="2:6">
      <c r="B225" s="292"/>
      <c r="C225" s="295"/>
      <c r="D225" s="292"/>
      <c r="E225" s="295"/>
      <c r="F225" s="292"/>
    </row>
    <row r="226" spans="2:6">
      <c r="B226" s="292"/>
      <c r="C226" s="295"/>
      <c r="D226" s="292"/>
      <c r="E226" s="295"/>
      <c r="F226" s="292"/>
    </row>
    <row r="227" spans="2:6">
      <c r="B227" s="292"/>
      <c r="C227" s="295"/>
      <c r="D227" s="292"/>
      <c r="E227" s="295"/>
      <c r="F227" s="292"/>
    </row>
    <row r="228" spans="2:6">
      <c r="B228" s="292"/>
      <c r="C228" s="295"/>
      <c r="D228" s="292"/>
      <c r="E228" s="295"/>
      <c r="F228" s="292"/>
    </row>
    <row r="229" spans="2:6">
      <c r="B229" s="292"/>
      <c r="C229" s="295"/>
      <c r="D229" s="292"/>
      <c r="E229" s="295"/>
      <c r="F229" s="292"/>
    </row>
    <row r="230" spans="2:6">
      <c r="B230" s="292"/>
      <c r="C230" s="295"/>
      <c r="D230" s="292"/>
      <c r="E230" s="295"/>
      <c r="F230" s="292"/>
    </row>
    <row r="231" spans="2:6">
      <c r="B231" s="292"/>
      <c r="C231" s="295"/>
      <c r="D231" s="292"/>
      <c r="E231" s="295"/>
      <c r="F231" s="292"/>
    </row>
    <row r="232" spans="2:6">
      <c r="B232" s="292"/>
      <c r="C232" s="295"/>
      <c r="D232" s="292"/>
      <c r="E232" s="295"/>
      <c r="F232" s="292"/>
    </row>
    <row r="233" spans="2:6">
      <c r="B233" s="292"/>
      <c r="C233" s="295"/>
      <c r="D233" s="292"/>
      <c r="E233" s="295"/>
      <c r="F233" s="292"/>
    </row>
    <row r="234" spans="2:6">
      <c r="B234" s="292"/>
      <c r="C234" s="295"/>
      <c r="D234" s="292"/>
      <c r="E234" s="295"/>
      <c r="F234" s="292"/>
    </row>
    <row r="235" spans="2:6">
      <c r="B235" s="292"/>
      <c r="C235" s="295"/>
      <c r="D235" s="292"/>
      <c r="E235" s="295"/>
      <c r="F235" s="292"/>
    </row>
    <row r="236" spans="2:6">
      <c r="B236" s="292"/>
      <c r="C236" s="295"/>
      <c r="D236" s="292"/>
      <c r="E236" s="295"/>
      <c r="F236" s="292"/>
    </row>
    <row r="237" spans="2:6">
      <c r="B237" s="292"/>
      <c r="C237" s="295"/>
      <c r="D237" s="292"/>
      <c r="E237" s="295"/>
      <c r="F237" s="292"/>
    </row>
    <row r="238" spans="2:6">
      <c r="B238" s="292"/>
      <c r="C238" s="295"/>
      <c r="D238" s="292"/>
      <c r="E238" s="295"/>
      <c r="F238" s="292"/>
    </row>
    <row r="239" spans="2:6">
      <c r="B239" s="292"/>
      <c r="C239" s="295"/>
      <c r="D239" s="292"/>
      <c r="E239" s="295"/>
      <c r="F239" s="292"/>
    </row>
    <row r="240" spans="2:6">
      <c r="B240" s="292"/>
      <c r="C240" s="295"/>
      <c r="D240" s="292"/>
      <c r="E240" s="295"/>
      <c r="F240" s="292"/>
    </row>
    <row r="241" spans="2:6">
      <c r="B241" s="292"/>
      <c r="C241" s="295"/>
      <c r="D241" s="292"/>
      <c r="E241" s="295"/>
      <c r="F241" s="292"/>
    </row>
    <row r="242" spans="2:6">
      <c r="B242" s="292"/>
      <c r="C242" s="295"/>
      <c r="D242" s="292"/>
      <c r="E242" s="295"/>
      <c r="F242" s="292"/>
    </row>
    <row r="243" spans="2:6">
      <c r="B243" s="292"/>
      <c r="C243" s="295"/>
      <c r="D243" s="292"/>
      <c r="E243" s="295"/>
      <c r="F243" s="292"/>
    </row>
    <row r="244" spans="2:6">
      <c r="B244" s="292"/>
      <c r="C244" s="295"/>
      <c r="D244" s="292"/>
      <c r="E244" s="295"/>
      <c r="F244" s="292"/>
    </row>
    <row r="245" spans="2:6">
      <c r="B245" s="292"/>
      <c r="C245" s="295"/>
      <c r="D245" s="292"/>
      <c r="E245" s="295"/>
      <c r="F245" s="292"/>
    </row>
    <row r="246" spans="2:6">
      <c r="B246" s="292"/>
      <c r="C246" s="295"/>
      <c r="D246" s="292"/>
      <c r="E246" s="295"/>
      <c r="F246" s="292"/>
    </row>
    <row r="247" spans="2:6">
      <c r="B247" s="292"/>
      <c r="C247" s="295"/>
      <c r="D247" s="292"/>
      <c r="E247" s="295"/>
      <c r="F247" s="292"/>
    </row>
    <row r="248" spans="2:6">
      <c r="B248" s="292"/>
      <c r="C248" s="295"/>
      <c r="D248" s="292"/>
      <c r="E248" s="295"/>
      <c r="F248" s="292"/>
    </row>
    <row r="249" spans="2:6">
      <c r="B249" s="292"/>
      <c r="C249" s="295"/>
      <c r="D249" s="292"/>
      <c r="E249" s="295"/>
      <c r="F249" s="292"/>
    </row>
    <row r="250" spans="2:6">
      <c r="B250" s="292"/>
      <c r="C250" s="295"/>
      <c r="D250" s="292"/>
      <c r="E250" s="295"/>
      <c r="F250" s="292"/>
    </row>
    <row r="251" spans="2:6">
      <c r="B251" s="292"/>
      <c r="C251" s="295"/>
      <c r="D251" s="292"/>
      <c r="E251" s="295"/>
      <c r="F251" s="292"/>
    </row>
    <row r="252" spans="2:6">
      <c r="B252" s="292"/>
      <c r="C252" s="295"/>
      <c r="D252" s="292"/>
      <c r="E252" s="295"/>
      <c r="F252" s="292"/>
    </row>
    <row r="253" spans="2:6">
      <c r="B253" s="292"/>
      <c r="C253" s="295"/>
      <c r="D253" s="292"/>
      <c r="E253" s="295"/>
      <c r="F253" s="292"/>
    </row>
    <row r="254" spans="2:6">
      <c r="B254" s="292"/>
      <c r="C254" s="295"/>
      <c r="D254" s="292"/>
      <c r="E254" s="295"/>
      <c r="F254" s="292"/>
    </row>
    <row r="255" spans="2:6">
      <c r="B255" s="292"/>
      <c r="C255" s="295"/>
      <c r="D255" s="292"/>
      <c r="E255" s="295"/>
      <c r="F255" s="292"/>
    </row>
    <row r="256" spans="2:6">
      <c r="B256" s="292"/>
      <c r="C256" s="295"/>
      <c r="D256" s="292"/>
      <c r="E256" s="295"/>
      <c r="F256" s="292"/>
    </row>
    <row r="257" spans="2:6">
      <c r="B257" s="292"/>
      <c r="C257" s="295"/>
      <c r="D257" s="292"/>
      <c r="E257" s="295"/>
      <c r="F257" s="292"/>
    </row>
    <row r="258" spans="2:6">
      <c r="B258" s="292"/>
      <c r="C258" s="295"/>
      <c r="D258" s="292"/>
      <c r="E258" s="295"/>
      <c r="F258" s="292"/>
    </row>
    <row r="259" spans="2:6">
      <c r="B259" s="292"/>
      <c r="C259" s="295"/>
      <c r="D259" s="292"/>
      <c r="E259" s="295"/>
      <c r="F259" s="292"/>
    </row>
    <row r="260" spans="2:6">
      <c r="B260" s="292"/>
      <c r="C260" s="295"/>
      <c r="D260" s="292"/>
      <c r="E260" s="295"/>
      <c r="F260" s="292"/>
    </row>
    <row r="261" spans="2:6">
      <c r="B261" s="292"/>
      <c r="C261" s="295"/>
      <c r="D261" s="292"/>
      <c r="E261" s="295"/>
      <c r="F261" s="292"/>
    </row>
    <row r="262" spans="2:6">
      <c r="B262" s="292"/>
      <c r="C262" s="295"/>
      <c r="D262" s="292"/>
      <c r="E262" s="295"/>
      <c r="F262" s="292"/>
    </row>
    <row r="263" spans="2:6">
      <c r="B263" s="292"/>
      <c r="C263" s="295"/>
      <c r="D263" s="292"/>
      <c r="E263" s="295"/>
      <c r="F263" s="292"/>
    </row>
    <row r="264" spans="2:6">
      <c r="B264" s="292"/>
      <c r="C264" s="295"/>
      <c r="D264" s="292"/>
      <c r="E264" s="295"/>
      <c r="F264" s="292"/>
    </row>
    <row r="265" spans="2:6">
      <c r="B265" s="292"/>
      <c r="C265" s="295"/>
      <c r="D265" s="292"/>
      <c r="E265" s="295"/>
      <c r="F265" s="292"/>
    </row>
    <row r="266" spans="2:6">
      <c r="B266" s="292"/>
      <c r="C266" s="295"/>
      <c r="D266" s="292"/>
      <c r="E266" s="295"/>
      <c r="F266" s="292"/>
    </row>
    <row r="267" spans="2:6">
      <c r="B267" s="292"/>
      <c r="C267" s="295"/>
      <c r="D267" s="292"/>
      <c r="E267" s="295"/>
      <c r="F267" s="292"/>
    </row>
    <row r="268" spans="2:6">
      <c r="B268" s="292"/>
      <c r="C268" s="295"/>
      <c r="D268" s="292"/>
      <c r="E268" s="295"/>
      <c r="F268" s="292"/>
    </row>
    <row r="269" spans="2:6">
      <c r="B269" s="292"/>
      <c r="C269" s="295"/>
      <c r="D269" s="292"/>
      <c r="E269" s="295"/>
      <c r="F269" s="292"/>
    </row>
    <row r="270" spans="2:6">
      <c r="B270" s="292"/>
      <c r="C270" s="295"/>
      <c r="D270" s="292"/>
      <c r="E270" s="295"/>
      <c r="F270" s="292"/>
    </row>
    <row r="271" spans="2:6">
      <c r="B271" s="292"/>
      <c r="C271" s="295"/>
      <c r="D271" s="292"/>
      <c r="E271" s="295"/>
      <c r="F271" s="292"/>
    </row>
    <row r="272" spans="2:6">
      <c r="B272" s="292"/>
      <c r="C272" s="295"/>
      <c r="D272" s="292"/>
      <c r="E272" s="295"/>
      <c r="F272" s="292"/>
    </row>
    <row r="273" spans="2:6">
      <c r="B273" s="292"/>
      <c r="C273" s="295"/>
      <c r="D273" s="292"/>
      <c r="E273" s="295"/>
      <c r="F273" s="292"/>
    </row>
    <row r="274" spans="2:6">
      <c r="B274" s="292"/>
      <c r="C274" s="295"/>
      <c r="D274" s="292"/>
      <c r="E274" s="295"/>
      <c r="F274" s="292"/>
    </row>
    <row r="275" spans="2:6">
      <c r="B275" s="292"/>
      <c r="C275" s="295"/>
      <c r="D275" s="292"/>
      <c r="E275" s="295"/>
      <c r="F275" s="292"/>
    </row>
    <row r="276" spans="2:6">
      <c r="B276" s="292"/>
      <c r="C276" s="295"/>
      <c r="D276" s="292"/>
      <c r="E276" s="295"/>
      <c r="F276" s="292"/>
    </row>
    <row r="277" spans="2:6">
      <c r="B277" s="292"/>
      <c r="C277" s="295"/>
      <c r="D277" s="292"/>
      <c r="E277" s="295"/>
      <c r="F277" s="292"/>
    </row>
    <row r="278" spans="2:6">
      <c r="B278" s="292"/>
      <c r="C278" s="295"/>
      <c r="D278" s="292"/>
      <c r="E278" s="295"/>
      <c r="F278" s="292"/>
    </row>
    <row r="279" spans="2:6">
      <c r="B279" s="292"/>
      <c r="C279" s="295"/>
      <c r="D279" s="292"/>
      <c r="E279" s="295"/>
      <c r="F279" s="292"/>
    </row>
    <row r="280" spans="2:6">
      <c r="B280" s="292"/>
      <c r="C280" s="295"/>
      <c r="D280" s="292"/>
      <c r="E280" s="295"/>
      <c r="F280" s="292"/>
    </row>
    <row r="281" spans="2:6">
      <c r="B281" s="292"/>
      <c r="C281" s="295"/>
      <c r="D281" s="292"/>
      <c r="E281" s="295"/>
      <c r="F281" s="292"/>
    </row>
    <row r="282" spans="2:6">
      <c r="B282" s="292"/>
      <c r="C282" s="295"/>
      <c r="D282" s="292"/>
      <c r="E282" s="295"/>
      <c r="F282" s="292"/>
    </row>
    <row r="283" spans="2:6">
      <c r="B283" s="292"/>
      <c r="C283" s="295"/>
      <c r="D283" s="292"/>
      <c r="E283" s="295"/>
      <c r="F283" s="292"/>
    </row>
    <row r="284" spans="2:6">
      <c r="B284" s="292"/>
      <c r="C284" s="295"/>
      <c r="D284" s="292"/>
      <c r="E284" s="295"/>
      <c r="F284" s="292"/>
    </row>
    <row r="285" spans="2:6">
      <c r="B285" s="292"/>
      <c r="C285" s="295"/>
      <c r="D285" s="292"/>
      <c r="E285" s="295"/>
      <c r="F285" s="292"/>
    </row>
    <row r="286" spans="2:6">
      <c r="B286" s="292"/>
      <c r="C286" s="295"/>
      <c r="D286" s="292"/>
      <c r="E286" s="295"/>
      <c r="F286" s="292"/>
    </row>
    <row r="287" spans="2:6">
      <c r="B287" s="292"/>
      <c r="C287" s="295"/>
      <c r="D287" s="292"/>
      <c r="E287" s="295"/>
      <c r="F287" s="292"/>
    </row>
    <row r="288" spans="2:6">
      <c r="B288" s="292"/>
      <c r="C288" s="295"/>
      <c r="D288" s="292"/>
      <c r="E288" s="295"/>
      <c r="F288" s="292"/>
    </row>
    <row r="289" spans="2:6">
      <c r="B289" s="292"/>
      <c r="C289" s="295"/>
      <c r="D289" s="292"/>
      <c r="E289" s="295"/>
      <c r="F289" s="292"/>
    </row>
    <row r="290" spans="2:6">
      <c r="B290" s="292"/>
      <c r="C290" s="295"/>
      <c r="D290" s="292"/>
      <c r="E290" s="295"/>
      <c r="F290" s="292"/>
    </row>
    <row r="291" spans="2:6">
      <c r="B291" s="292"/>
      <c r="C291" s="295"/>
      <c r="D291" s="292"/>
      <c r="E291" s="295"/>
      <c r="F291" s="292"/>
    </row>
    <row r="292" spans="2:6">
      <c r="B292" s="292"/>
      <c r="C292" s="295"/>
      <c r="D292" s="292"/>
      <c r="E292" s="295"/>
      <c r="F292" s="292"/>
    </row>
    <row r="293" spans="2:6">
      <c r="B293" s="292"/>
      <c r="C293" s="295"/>
      <c r="D293" s="292"/>
      <c r="E293" s="295"/>
      <c r="F293" s="292"/>
    </row>
    <row r="294" spans="2:6">
      <c r="B294" s="292"/>
      <c r="C294" s="295"/>
      <c r="D294" s="292"/>
      <c r="E294" s="295"/>
      <c r="F294" s="292"/>
    </row>
    <row r="295" spans="2:6">
      <c r="B295" s="292"/>
      <c r="C295" s="295"/>
      <c r="D295" s="292"/>
      <c r="E295" s="295"/>
      <c r="F295" s="292"/>
    </row>
    <row r="296" spans="2:6">
      <c r="B296" s="292"/>
      <c r="C296" s="295"/>
      <c r="D296" s="292"/>
      <c r="E296" s="295"/>
      <c r="F296" s="292"/>
    </row>
    <row r="297" spans="2:6">
      <c r="B297" s="292"/>
      <c r="C297" s="295"/>
      <c r="D297" s="292"/>
      <c r="E297" s="295"/>
      <c r="F297" s="292"/>
    </row>
    <row r="298" spans="2:6">
      <c r="B298" s="292"/>
      <c r="C298" s="295"/>
      <c r="D298" s="292"/>
      <c r="E298" s="295"/>
      <c r="F298" s="292"/>
    </row>
    <row r="299" spans="2:6">
      <c r="B299" s="292"/>
      <c r="C299" s="295"/>
      <c r="D299" s="292"/>
      <c r="E299" s="295"/>
      <c r="F299" s="292"/>
    </row>
    <row r="300" spans="2:6">
      <c r="B300" s="292"/>
      <c r="C300" s="295"/>
      <c r="D300" s="292"/>
      <c r="E300" s="295"/>
      <c r="F300" s="292"/>
    </row>
    <row r="301" spans="2:6">
      <c r="B301" s="292"/>
      <c r="C301" s="295"/>
      <c r="D301" s="292"/>
      <c r="E301" s="295"/>
      <c r="F301" s="292"/>
    </row>
    <row r="302" spans="2:6">
      <c r="B302" s="292"/>
      <c r="C302" s="295"/>
      <c r="D302" s="292"/>
      <c r="E302" s="295"/>
      <c r="F302" s="292"/>
    </row>
    <row r="303" spans="2:6">
      <c r="B303" s="292"/>
      <c r="C303" s="295"/>
      <c r="D303" s="292"/>
      <c r="E303" s="295"/>
      <c r="F303" s="292"/>
    </row>
    <row r="304" spans="2:6">
      <c r="B304" s="292"/>
      <c r="C304" s="295"/>
      <c r="D304" s="292"/>
      <c r="E304" s="295"/>
      <c r="F304" s="292"/>
    </row>
    <row r="305" spans="2:6">
      <c r="B305" s="292"/>
      <c r="C305" s="295"/>
      <c r="D305" s="292"/>
      <c r="E305" s="295"/>
      <c r="F305" s="292"/>
    </row>
    <row r="306" spans="2:6">
      <c r="B306" s="292"/>
      <c r="C306" s="295"/>
      <c r="D306" s="292"/>
      <c r="E306" s="295"/>
      <c r="F306" s="292"/>
    </row>
    <row r="307" spans="2:6">
      <c r="B307" s="292"/>
      <c r="C307" s="295"/>
      <c r="D307" s="292"/>
      <c r="E307" s="295"/>
      <c r="F307" s="292"/>
    </row>
    <row r="308" spans="2:6">
      <c r="B308" s="292"/>
      <c r="C308" s="295"/>
      <c r="D308" s="292"/>
      <c r="E308" s="295"/>
      <c r="F308" s="292"/>
    </row>
    <row r="309" spans="2:6">
      <c r="B309" s="292"/>
      <c r="C309" s="295"/>
      <c r="D309" s="292"/>
      <c r="E309" s="295"/>
      <c r="F309" s="292"/>
    </row>
    <row r="310" spans="2:6">
      <c r="B310" s="292"/>
      <c r="C310" s="295"/>
      <c r="D310" s="292"/>
      <c r="E310" s="295"/>
      <c r="F310" s="292"/>
    </row>
    <row r="311" spans="2:6">
      <c r="B311" s="292"/>
      <c r="C311" s="295"/>
      <c r="D311" s="292"/>
      <c r="E311" s="295"/>
      <c r="F311" s="292"/>
    </row>
    <row r="312" spans="2:6">
      <c r="B312" s="292"/>
      <c r="C312" s="295"/>
      <c r="D312" s="292"/>
      <c r="E312" s="295"/>
      <c r="F312" s="292"/>
    </row>
    <row r="313" spans="2:6">
      <c r="B313" s="292"/>
      <c r="C313" s="295"/>
      <c r="D313" s="292"/>
      <c r="E313" s="295"/>
      <c r="F313" s="292"/>
    </row>
    <row r="314" spans="2:6">
      <c r="B314" s="292"/>
      <c r="C314" s="295"/>
      <c r="D314" s="292"/>
      <c r="E314" s="295"/>
      <c r="F314" s="292"/>
    </row>
    <row r="315" spans="2:6">
      <c r="B315" s="292"/>
      <c r="C315" s="295"/>
      <c r="D315" s="292"/>
      <c r="E315" s="295"/>
      <c r="F315" s="292"/>
    </row>
    <row r="316" spans="2:6">
      <c r="B316" s="292"/>
      <c r="C316" s="295"/>
      <c r="D316" s="292"/>
      <c r="E316" s="295"/>
      <c r="F316" s="292"/>
    </row>
    <row r="317" spans="2:6">
      <c r="B317" s="292"/>
      <c r="C317" s="295"/>
      <c r="D317" s="292"/>
      <c r="E317" s="295"/>
      <c r="F317" s="292"/>
    </row>
    <row r="318" spans="2:6">
      <c r="B318" s="292"/>
      <c r="C318" s="295"/>
      <c r="D318" s="292"/>
      <c r="E318" s="295"/>
      <c r="F318" s="292"/>
    </row>
    <row r="319" spans="2:6">
      <c r="B319" s="292"/>
      <c r="C319" s="295"/>
      <c r="D319" s="292"/>
      <c r="E319" s="295"/>
      <c r="F319" s="292"/>
    </row>
    <row r="320" spans="2:6">
      <c r="B320" s="292"/>
      <c r="C320" s="295"/>
      <c r="D320" s="292"/>
      <c r="E320" s="295"/>
      <c r="F320" s="292"/>
    </row>
    <row r="321" spans="2:6">
      <c r="B321" s="292"/>
      <c r="C321" s="295"/>
      <c r="D321" s="292"/>
      <c r="E321" s="295"/>
      <c r="F321" s="292"/>
    </row>
    <row r="322" spans="2:6">
      <c r="B322" s="292"/>
      <c r="C322" s="295"/>
      <c r="D322" s="292"/>
      <c r="E322" s="295"/>
      <c r="F322" s="292"/>
    </row>
  </sheetData>
  <autoFilter ref="B16:F993" xr:uid="{00000000-0009-0000-0000-000003000000}"/>
  <phoneticPr fontId="3"/>
  <pageMargins left="0.78700000000000003" right="0.78700000000000003" top="0.98399999999999999" bottom="0.98399999999999999" header="0.51200000000000001" footer="0.51200000000000001"/>
  <pageSetup paperSize="9" scale="49" orientation="landscape" verticalDpi="300" r:id="rId1"/>
  <headerFooter alignWithMargins="0">
    <oddHeader>&amp;F</oddHeader>
    <oddFooter>&amp;P / &amp;N ページ</oddFooter>
  </headerFooter>
  <colBreaks count="1" manualBreakCount="1">
    <brk id="6" max="1048575" man="1"/>
  </colBreaks>
  <drawing r:id="rId2"/>
  <legacyDrawing r:id="rId3"/>
  <controls>
    <mc:AlternateContent xmlns:mc="http://schemas.openxmlformats.org/markup-compatibility/2006">
      <mc:Choice Requires="x14">
        <control shapeId="2049" r:id="rId4" name="btnIkkatsuCsv">
          <controlPr defaultSize="0" autoLine="0" r:id="rId5">
            <anchor moveWithCells="1">
              <from>
                <xdr:col>1</xdr:col>
                <xdr:colOff>19050</xdr:colOff>
                <xdr:row>6</xdr:row>
                <xdr:rowOff>95250</xdr:rowOff>
              </from>
              <to>
                <xdr:col>1</xdr:col>
                <xdr:colOff>3781425</xdr:colOff>
                <xdr:row>13</xdr:row>
                <xdr:rowOff>85725</xdr:rowOff>
              </to>
            </anchor>
          </controlPr>
        </control>
      </mc:Choice>
      <mc:Fallback>
        <control shapeId="2049" r:id="rId4" name="btnIkkatsuCsv"/>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tabColor indexed="45"/>
  </sheetPr>
  <dimension ref="A1:F150"/>
  <sheetViews>
    <sheetView zoomScaleNormal="100" workbookViewId="0">
      <pane xSplit="1" ySplit="16" topLeftCell="B17" activePane="bottomRight" state="frozen"/>
      <selection activeCell="I15" sqref="I15:I24"/>
      <selection pane="topRight" activeCell="I15" sqref="I15:I24"/>
      <selection pane="bottomLeft" activeCell="I15" sqref="I15:I24"/>
      <selection pane="bottomRight" activeCell="I15" sqref="I15:I24"/>
    </sheetView>
  </sheetViews>
  <sheetFormatPr defaultRowHeight="13.5"/>
  <cols>
    <col min="1" max="1" width="5.5" customWidth="1"/>
    <col min="2" max="2" width="65.875" customWidth="1"/>
    <col min="3" max="3" width="8.375" bestFit="1" customWidth="1"/>
    <col min="4" max="4" width="55.25" bestFit="1" customWidth="1"/>
    <col min="5" max="5" width="9.75" bestFit="1" customWidth="1"/>
    <col min="6" max="6" width="113" bestFit="1" customWidth="1"/>
  </cols>
  <sheetData>
    <row r="1" spans="1:6" ht="18.75">
      <c r="A1" s="289" t="s">
        <v>217</v>
      </c>
    </row>
    <row r="2" spans="1:6">
      <c r="B2" t="s">
        <v>218</v>
      </c>
    </row>
    <row r="3" spans="1:6" hidden="1"/>
    <row r="4" spans="1:6" hidden="1"/>
    <row r="5" spans="1:6" hidden="1"/>
    <row r="6" spans="1:6" hidden="1"/>
    <row r="15" spans="1:6">
      <c r="B15" t="s">
        <v>219</v>
      </c>
    </row>
    <row r="16" spans="1:6">
      <c r="B16" s="291" t="s">
        <v>213</v>
      </c>
      <c r="C16" s="291" t="s">
        <v>214</v>
      </c>
      <c r="D16" s="291" t="s">
        <v>8</v>
      </c>
      <c r="E16" s="291" t="s">
        <v>215</v>
      </c>
      <c r="F16" s="291" t="s">
        <v>220</v>
      </c>
    </row>
    <row r="17" spans="1:6">
      <c r="A17" s="292"/>
      <c r="B17" s="293"/>
      <c r="C17" s="293"/>
      <c r="D17" s="293"/>
      <c r="E17" s="293"/>
      <c r="F17" s="293"/>
    </row>
    <row r="18" spans="1:6">
      <c r="A18" s="292"/>
      <c r="B18" s="296"/>
      <c r="C18" s="296"/>
      <c r="D18" s="296"/>
      <c r="E18" s="296"/>
      <c r="F18" s="296"/>
    </row>
    <row r="19" spans="1:6">
      <c r="A19" s="292"/>
      <c r="B19" s="293"/>
      <c r="C19" s="293"/>
      <c r="D19" s="293"/>
      <c r="E19" s="293"/>
      <c r="F19" s="293"/>
    </row>
    <row r="20" spans="1:6">
      <c r="A20" s="292"/>
      <c r="B20" s="293"/>
      <c r="C20" s="293"/>
      <c r="D20" s="293"/>
      <c r="E20" s="293"/>
      <c r="F20" s="293"/>
    </row>
    <row r="21" spans="1:6">
      <c r="A21" s="292"/>
      <c r="B21" s="293"/>
      <c r="C21" s="293"/>
      <c r="D21" s="293"/>
      <c r="E21" s="293"/>
      <c r="F21" s="293"/>
    </row>
    <row r="22" spans="1:6">
      <c r="A22" s="292"/>
      <c r="B22" s="293"/>
      <c r="C22" s="293"/>
      <c r="D22" s="293"/>
      <c r="E22" s="293"/>
      <c r="F22" s="297"/>
    </row>
    <row r="23" spans="1:6">
      <c r="A23" s="292"/>
      <c r="B23" s="293"/>
      <c r="C23" s="293"/>
      <c r="D23" s="293"/>
      <c r="E23" s="293"/>
      <c r="F23" s="293"/>
    </row>
    <row r="24" spans="1:6">
      <c r="A24" s="292"/>
      <c r="B24" s="293"/>
      <c r="C24" s="293"/>
      <c r="D24" s="293"/>
      <c r="E24" s="293"/>
      <c r="F24" s="293"/>
    </row>
    <row r="25" spans="1:6">
      <c r="A25" s="292"/>
      <c r="B25" s="293"/>
      <c r="C25" s="293"/>
      <c r="D25" s="293"/>
      <c r="E25" s="293"/>
      <c r="F25" s="293"/>
    </row>
    <row r="26" spans="1:6">
      <c r="A26" s="292"/>
      <c r="B26" s="293"/>
      <c r="C26" s="293"/>
      <c r="D26" s="293"/>
      <c r="E26" s="293"/>
      <c r="F26" s="293"/>
    </row>
    <row r="27" spans="1:6">
      <c r="A27" s="292"/>
      <c r="B27" s="296"/>
      <c r="C27" s="296"/>
      <c r="D27" s="296"/>
      <c r="E27" s="296"/>
      <c r="F27" s="296"/>
    </row>
    <row r="28" spans="1:6">
      <c r="A28" s="292"/>
      <c r="B28" s="293"/>
      <c r="C28" s="293"/>
      <c r="D28" s="293"/>
      <c r="E28" s="293"/>
      <c r="F28" s="293"/>
    </row>
    <row r="29" spans="1:6">
      <c r="A29" s="292"/>
      <c r="B29" s="293"/>
      <c r="C29" s="293"/>
      <c r="D29" s="293"/>
      <c r="E29" s="293"/>
      <c r="F29" s="293"/>
    </row>
    <row r="30" spans="1:6">
      <c r="A30" s="292"/>
      <c r="B30" s="296"/>
      <c r="C30" s="296"/>
      <c r="D30" s="296"/>
      <c r="E30" s="296"/>
      <c r="F30" s="296"/>
    </row>
    <row r="31" spans="1:6">
      <c r="A31" s="292"/>
      <c r="B31" s="293"/>
      <c r="C31" s="293"/>
      <c r="D31" s="293"/>
      <c r="E31" s="293"/>
      <c r="F31" s="293"/>
    </row>
    <row r="32" spans="1:6">
      <c r="B32" s="296"/>
      <c r="C32" s="296"/>
      <c r="D32" s="296"/>
      <c r="E32" s="296"/>
      <c r="F32" s="296"/>
    </row>
    <row r="33" spans="2:6">
      <c r="B33" s="293"/>
      <c r="C33" s="293"/>
      <c r="D33" s="293"/>
      <c r="E33" s="293"/>
      <c r="F33" s="293"/>
    </row>
    <row r="34" spans="2:6">
      <c r="B34" s="293"/>
      <c r="C34" s="293"/>
      <c r="D34" s="293"/>
      <c r="E34" s="293"/>
      <c r="F34" s="293"/>
    </row>
    <row r="35" spans="2:6">
      <c r="B35" s="293"/>
      <c r="C35" s="293"/>
      <c r="D35" s="293"/>
      <c r="E35" s="293"/>
      <c r="F35" s="293"/>
    </row>
    <row r="36" spans="2:6">
      <c r="B36" s="296"/>
      <c r="C36" s="296"/>
      <c r="D36" s="296"/>
      <c r="E36" s="296"/>
      <c r="F36" s="296"/>
    </row>
    <row r="37" spans="2:6">
      <c r="B37" s="293"/>
      <c r="C37" s="293"/>
      <c r="D37" s="293"/>
      <c r="E37" s="293"/>
      <c r="F37" s="293"/>
    </row>
    <row r="38" spans="2:6">
      <c r="B38" s="293"/>
      <c r="C38" s="293"/>
      <c r="D38" s="293"/>
      <c r="E38" s="293"/>
      <c r="F38" s="293"/>
    </row>
    <row r="39" spans="2:6">
      <c r="B39" s="293"/>
      <c r="C39" s="293"/>
      <c r="D39" s="293"/>
      <c r="E39" s="293"/>
      <c r="F39" s="293"/>
    </row>
    <row r="40" spans="2:6">
      <c r="B40" s="293"/>
      <c r="C40" s="293"/>
      <c r="D40" s="293"/>
      <c r="E40" s="293"/>
      <c r="F40" s="293"/>
    </row>
    <row r="41" spans="2:6">
      <c r="B41" s="293"/>
      <c r="C41" s="293"/>
      <c r="D41" s="293"/>
      <c r="E41" s="293"/>
      <c r="F41" s="293"/>
    </row>
    <row r="42" spans="2:6">
      <c r="B42" s="293"/>
      <c r="C42" s="293"/>
      <c r="D42" s="293"/>
      <c r="E42" s="293"/>
      <c r="F42" s="293"/>
    </row>
    <row r="43" spans="2:6">
      <c r="B43" s="293"/>
      <c r="C43" s="293"/>
      <c r="D43" s="293"/>
      <c r="E43" s="293"/>
      <c r="F43" s="293"/>
    </row>
    <row r="44" spans="2:6">
      <c r="B44" s="293"/>
      <c r="C44" s="293"/>
      <c r="D44" s="293"/>
      <c r="E44" s="293"/>
      <c r="F44" s="293"/>
    </row>
    <row r="45" spans="2:6">
      <c r="B45" s="296"/>
      <c r="C45" s="296"/>
      <c r="D45" s="296"/>
      <c r="E45" s="296"/>
      <c r="F45" s="296"/>
    </row>
    <row r="46" spans="2:6">
      <c r="B46" s="296"/>
      <c r="C46" s="296"/>
      <c r="D46" s="296"/>
      <c r="E46" s="296"/>
      <c r="F46" s="296"/>
    </row>
    <row r="47" spans="2:6">
      <c r="B47" s="293"/>
      <c r="C47" s="293"/>
      <c r="D47" s="293"/>
      <c r="E47" s="293"/>
      <c r="F47" s="293"/>
    </row>
    <row r="48" spans="2:6">
      <c r="B48" s="293"/>
      <c r="C48" s="293"/>
      <c r="D48" s="293"/>
      <c r="E48" s="293"/>
      <c r="F48" s="293"/>
    </row>
    <row r="49" spans="2:6">
      <c r="B49" s="293"/>
      <c r="C49" s="293"/>
      <c r="D49" s="293"/>
      <c r="E49" s="293"/>
      <c r="F49" s="293"/>
    </row>
    <row r="50" spans="2:6">
      <c r="B50" s="293"/>
      <c r="C50" s="293"/>
      <c r="D50" s="293"/>
      <c r="E50" s="293"/>
      <c r="F50" s="293"/>
    </row>
    <row r="51" spans="2:6">
      <c r="B51" s="293"/>
      <c r="C51" s="293"/>
      <c r="D51" s="293"/>
      <c r="E51" s="293"/>
      <c r="F51" s="293"/>
    </row>
    <row r="52" spans="2:6">
      <c r="B52" s="293"/>
      <c r="C52" s="293"/>
      <c r="D52" s="293"/>
      <c r="E52" s="293"/>
      <c r="F52" s="293"/>
    </row>
    <row r="53" spans="2:6">
      <c r="B53" s="293"/>
      <c r="C53" s="293"/>
      <c r="D53" s="293"/>
      <c r="E53" s="293"/>
      <c r="F53" s="293"/>
    </row>
    <row r="54" spans="2:6">
      <c r="B54" s="293"/>
      <c r="C54" s="293"/>
      <c r="D54" s="293"/>
      <c r="E54" s="293"/>
      <c r="F54" s="293"/>
    </row>
    <row r="55" spans="2:6">
      <c r="B55" s="293"/>
      <c r="C55" s="293"/>
      <c r="D55" s="293"/>
      <c r="E55" s="293"/>
      <c r="F55" s="293"/>
    </row>
    <row r="56" spans="2:6">
      <c r="B56" s="293"/>
      <c r="C56" s="293"/>
      <c r="D56" s="293"/>
      <c r="E56" s="293"/>
      <c r="F56" s="293"/>
    </row>
    <row r="57" spans="2:6">
      <c r="B57" s="293"/>
      <c r="C57" s="293"/>
      <c r="D57" s="293"/>
      <c r="E57" s="293"/>
      <c r="F57" s="293"/>
    </row>
    <row r="58" spans="2:6">
      <c r="B58" s="293"/>
      <c r="C58" s="293"/>
      <c r="D58" s="293"/>
      <c r="E58" s="293"/>
      <c r="F58" s="293"/>
    </row>
    <row r="59" spans="2:6">
      <c r="B59" s="293"/>
      <c r="C59" s="293"/>
      <c r="D59" s="293"/>
      <c r="E59" s="293"/>
      <c r="F59" s="293"/>
    </row>
    <row r="60" spans="2:6">
      <c r="B60" s="293"/>
      <c r="C60" s="293"/>
      <c r="D60" s="293"/>
      <c r="E60" s="293"/>
      <c r="F60" s="293"/>
    </row>
    <row r="61" spans="2:6">
      <c r="B61" s="293"/>
      <c r="C61" s="293"/>
      <c r="D61" s="293"/>
      <c r="E61" s="293"/>
      <c r="F61" s="293"/>
    </row>
    <row r="62" spans="2:6">
      <c r="B62" s="296"/>
      <c r="C62" s="296"/>
      <c r="D62" s="296"/>
      <c r="E62" s="296"/>
      <c r="F62" s="296"/>
    </row>
    <row r="63" spans="2:6">
      <c r="B63" s="296"/>
      <c r="C63" s="296"/>
      <c r="D63" s="296"/>
      <c r="E63" s="296"/>
      <c r="F63" s="296"/>
    </row>
    <row r="64" spans="2:6">
      <c r="B64" s="296"/>
      <c r="C64" s="296"/>
      <c r="D64" s="296"/>
      <c r="E64" s="296"/>
      <c r="F64" s="296"/>
    </row>
    <row r="65" spans="2:6">
      <c r="B65" s="296"/>
      <c r="C65" s="296"/>
      <c r="D65" s="296"/>
      <c r="E65" s="296"/>
      <c r="F65" s="296"/>
    </row>
    <row r="66" spans="2:6">
      <c r="B66" s="296"/>
      <c r="C66" s="296"/>
      <c r="D66" s="296"/>
      <c r="E66" s="296"/>
      <c r="F66" s="296"/>
    </row>
    <row r="67" spans="2:6">
      <c r="B67" s="296"/>
      <c r="C67" s="296"/>
      <c r="D67" s="296"/>
      <c r="E67" s="296"/>
      <c r="F67" s="296"/>
    </row>
    <row r="68" spans="2:6">
      <c r="B68" s="296"/>
      <c r="C68" s="296"/>
      <c r="D68" s="296"/>
      <c r="E68" s="296"/>
      <c r="F68" s="296"/>
    </row>
    <row r="69" spans="2:6">
      <c r="B69" s="293"/>
      <c r="C69" s="293"/>
      <c r="D69" s="293"/>
      <c r="E69" s="293"/>
      <c r="F69" s="293"/>
    </row>
    <row r="70" spans="2:6">
      <c r="B70" s="293"/>
      <c r="C70" s="293"/>
      <c r="D70" s="293"/>
      <c r="E70" s="293"/>
      <c r="F70" s="293"/>
    </row>
    <row r="71" spans="2:6">
      <c r="B71" s="293"/>
      <c r="C71" s="293"/>
      <c r="D71" s="293"/>
      <c r="E71" s="293"/>
      <c r="F71" s="293"/>
    </row>
    <row r="72" spans="2:6">
      <c r="B72" s="293"/>
      <c r="C72" s="293"/>
      <c r="D72" s="293"/>
      <c r="E72" s="293"/>
      <c r="F72" s="293"/>
    </row>
    <row r="73" spans="2:6">
      <c r="B73" s="293"/>
      <c r="C73" s="293"/>
      <c r="D73" s="293"/>
      <c r="E73" s="293"/>
      <c r="F73" s="293"/>
    </row>
    <row r="74" spans="2:6">
      <c r="B74" s="293"/>
      <c r="C74" s="293"/>
      <c r="D74" s="293"/>
      <c r="E74" s="293"/>
      <c r="F74" s="293"/>
    </row>
    <row r="75" spans="2:6">
      <c r="B75" s="293"/>
      <c r="C75" s="293"/>
      <c r="D75" s="293"/>
      <c r="E75" s="293"/>
      <c r="F75" s="293"/>
    </row>
    <row r="76" spans="2:6">
      <c r="B76" s="293"/>
      <c r="C76" s="293"/>
      <c r="D76" s="293"/>
      <c r="E76" s="293"/>
      <c r="F76" s="293"/>
    </row>
    <row r="77" spans="2:6">
      <c r="B77" s="293"/>
      <c r="C77" s="293"/>
      <c r="D77" s="293"/>
      <c r="E77" s="293"/>
      <c r="F77" s="293"/>
    </row>
    <row r="78" spans="2:6">
      <c r="B78" s="293"/>
      <c r="C78" s="293"/>
      <c r="D78" s="293"/>
      <c r="E78" s="293"/>
      <c r="F78" s="293"/>
    </row>
    <row r="79" spans="2:6">
      <c r="B79" s="293"/>
      <c r="C79" s="293"/>
      <c r="D79" s="293"/>
      <c r="E79" s="293"/>
      <c r="F79" s="293"/>
    </row>
    <row r="80" spans="2:6">
      <c r="B80" s="293"/>
      <c r="C80" s="293"/>
      <c r="D80" s="293"/>
      <c r="E80" s="293"/>
      <c r="F80" s="293"/>
    </row>
    <row r="81" spans="2:6">
      <c r="B81" s="293"/>
      <c r="C81" s="293"/>
      <c r="D81" s="293"/>
      <c r="E81" s="293"/>
      <c r="F81" s="293"/>
    </row>
    <row r="82" spans="2:6">
      <c r="B82" s="296"/>
      <c r="C82" s="296"/>
      <c r="D82" s="296"/>
      <c r="E82" s="296"/>
      <c r="F82" s="296"/>
    </row>
    <row r="83" spans="2:6">
      <c r="B83" s="296"/>
      <c r="C83" s="296"/>
      <c r="D83" s="296"/>
      <c r="E83" s="296"/>
      <c r="F83" s="296"/>
    </row>
    <row r="84" spans="2:6">
      <c r="B84" s="296"/>
      <c r="C84" s="296"/>
      <c r="D84" s="296"/>
      <c r="E84" s="296"/>
      <c r="F84" s="296"/>
    </row>
    <row r="85" spans="2:6">
      <c r="B85" s="293"/>
      <c r="C85" s="293"/>
      <c r="D85" s="293"/>
      <c r="E85" s="293"/>
      <c r="F85" s="293"/>
    </row>
    <row r="86" spans="2:6">
      <c r="B86" s="293"/>
      <c r="C86" s="293"/>
      <c r="D86" s="293"/>
      <c r="E86" s="293"/>
      <c r="F86" s="293"/>
    </row>
    <row r="87" spans="2:6">
      <c r="B87" s="293"/>
      <c r="C87" s="293"/>
      <c r="D87" s="293"/>
      <c r="E87" s="293"/>
      <c r="F87" s="293"/>
    </row>
    <row r="88" spans="2:6">
      <c r="B88" s="293"/>
      <c r="C88" s="293"/>
      <c r="D88" s="293"/>
      <c r="E88" s="293"/>
      <c r="F88" s="293"/>
    </row>
    <row r="89" spans="2:6">
      <c r="B89" s="293"/>
      <c r="C89" s="293"/>
      <c r="D89" s="293"/>
      <c r="E89" s="293"/>
      <c r="F89" s="293"/>
    </row>
    <row r="90" spans="2:6">
      <c r="B90" s="293"/>
      <c r="C90" s="293"/>
      <c r="D90" s="293"/>
      <c r="E90" s="293"/>
      <c r="F90" s="293"/>
    </row>
    <row r="91" spans="2:6">
      <c r="B91" s="293"/>
      <c r="C91" s="293"/>
      <c r="D91" s="293"/>
      <c r="E91" s="293"/>
      <c r="F91" s="293"/>
    </row>
    <row r="92" spans="2:6">
      <c r="B92" s="296"/>
      <c r="C92" s="296"/>
      <c r="D92" s="296"/>
      <c r="E92" s="296"/>
      <c r="F92" s="296"/>
    </row>
    <row r="93" spans="2:6">
      <c r="B93" s="293"/>
      <c r="C93" s="293"/>
      <c r="D93" s="293"/>
      <c r="E93" s="293"/>
      <c r="F93" s="293"/>
    </row>
    <row r="94" spans="2:6">
      <c r="B94" s="293"/>
      <c r="C94" s="293"/>
      <c r="D94" s="293"/>
      <c r="E94" s="293"/>
      <c r="F94" s="293"/>
    </row>
    <row r="95" spans="2:6">
      <c r="B95" s="293"/>
      <c r="C95" s="293"/>
      <c r="D95" s="293"/>
      <c r="E95" s="293"/>
      <c r="F95" s="293"/>
    </row>
    <row r="96" spans="2:6">
      <c r="B96" s="293"/>
      <c r="C96" s="293"/>
      <c r="D96" s="293"/>
      <c r="E96" s="293"/>
      <c r="F96" s="293"/>
    </row>
    <row r="97" spans="2:6">
      <c r="B97" s="293"/>
      <c r="C97" s="293"/>
      <c r="D97" s="293"/>
      <c r="E97" s="293"/>
      <c r="F97" s="293"/>
    </row>
    <row r="98" spans="2:6">
      <c r="B98" s="293"/>
      <c r="C98" s="293"/>
      <c r="D98" s="293"/>
      <c r="E98" s="293"/>
      <c r="F98" s="293"/>
    </row>
    <row r="99" spans="2:6">
      <c r="B99" s="293"/>
      <c r="C99" s="293"/>
      <c r="D99" s="293"/>
      <c r="E99" s="293"/>
      <c r="F99" s="293"/>
    </row>
    <row r="100" spans="2:6">
      <c r="B100" s="293"/>
      <c r="C100" s="293"/>
      <c r="D100" s="293"/>
      <c r="E100" s="293"/>
      <c r="F100" s="293"/>
    </row>
    <row r="101" spans="2:6">
      <c r="B101" s="293"/>
      <c r="C101" s="293"/>
      <c r="D101" s="293"/>
      <c r="E101" s="293"/>
      <c r="F101" s="293"/>
    </row>
    <row r="102" spans="2:6">
      <c r="B102" s="293"/>
      <c r="C102" s="293"/>
      <c r="D102" s="293"/>
      <c r="E102" s="293"/>
      <c r="F102" s="293"/>
    </row>
    <row r="103" spans="2:6">
      <c r="B103" s="293"/>
      <c r="C103" s="293"/>
      <c r="D103" s="293"/>
      <c r="E103" s="293"/>
      <c r="F103" s="293"/>
    </row>
    <row r="104" spans="2:6">
      <c r="B104" s="293"/>
      <c r="C104" s="293"/>
      <c r="D104" s="293"/>
      <c r="E104" s="293"/>
      <c r="F104" s="293"/>
    </row>
    <row r="105" spans="2:6">
      <c r="B105" s="293"/>
      <c r="C105" s="293"/>
      <c r="D105" s="293"/>
      <c r="E105" s="293"/>
      <c r="F105" s="293"/>
    </row>
    <row r="106" spans="2:6">
      <c r="B106" s="293"/>
      <c r="C106" s="293"/>
      <c r="D106" s="293"/>
      <c r="E106" s="293"/>
      <c r="F106" s="293"/>
    </row>
    <row r="107" spans="2:6">
      <c r="B107" s="293"/>
      <c r="C107" s="293"/>
      <c r="D107" s="293"/>
      <c r="E107" s="293"/>
      <c r="F107" s="293"/>
    </row>
    <row r="108" spans="2:6">
      <c r="B108" s="293"/>
      <c r="C108" s="293"/>
      <c r="D108" s="293"/>
      <c r="E108" s="293"/>
      <c r="F108" s="293"/>
    </row>
    <row r="109" spans="2:6">
      <c r="B109" s="293"/>
      <c r="C109" s="293"/>
      <c r="D109" s="293"/>
      <c r="E109" s="293"/>
      <c r="F109" s="293"/>
    </row>
    <row r="110" spans="2:6">
      <c r="B110" s="293"/>
      <c r="C110" s="293"/>
      <c r="D110" s="293"/>
      <c r="E110" s="293"/>
      <c r="F110" s="293"/>
    </row>
    <row r="111" spans="2:6">
      <c r="B111" s="293"/>
      <c r="C111" s="293"/>
      <c r="D111" s="293"/>
      <c r="E111" s="293"/>
      <c r="F111" s="293"/>
    </row>
    <row r="112" spans="2:6">
      <c r="B112" s="293"/>
      <c r="C112" s="293"/>
      <c r="D112" s="293"/>
      <c r="E112" s="293"/>
      <c r="F112" s="293"/>
    </row>
    <row r="113" spans="2:6">
      <c r="B113" s="293"/>
      <c r="C113" s="293"/>
      <c r="D113" s="293"/>
      <c r="E113" s="293"/>
      <c r="F113" s="293"/>
    </row>
    <row r="114" spans="2:6">
      <c r="B114" s="293"/>
      <c r="C114" s="293"/>
      <c r="D114" s="293"/>
      <c r="E114" s="293"/>
      <c r="F114" s="293"/>
    </row>
    <row r="115" spans="2:6">
      <c r="B115" s="293"/>
      <c r="C115" s="293"/>
      <c r="D115" s="293"/>
      <c r="E115" s="293"/>
      <c r="F115" s="293"/>
    </row>
    <row r="116" spans="2:6">
      <c r="B116" s="293"/>
      <c r="C116" s="293"/>
      <c r="D116" s="293"/>
      <c r="E116" s="293"/>
      <c r="F116" s="293"/>
    </row>
    <row r="117" spans="2:6">
      <c r="B117" s="293"/>
      <c r="C117" s="293"/>
      <c r="D117" s="293"/>
      <c r="E117" s="293"/>
      <c r="F117" s="293"/>
    </row>
    <row r="118" spans="2:6">
      <c r="B118" s="293"/>
      <c r="C118" s="293"/>
      <c r="D118" s="293"/>
      <c r="E118" s="293"/>
      <c r="F118" s="293"/>
    </row>
    <row r="119" spans="2:6">
      <c r="B119" s="296"/>
      <c r="C119" s="296"/>
      <c r="D119" s="296"/>
      <c r="E119" s="296"/>
      <c r="F119" s="296"/>
    </row>
    <row r="120" spans="2:6">
      <c r="B120" s="293"/>
      <c r="C120" s="293"/>
      <c r="D120" s="293"/>
      <c r="E120" s="293"/>
      <c r="F120" s="293"/>
    </row>
    <row r="121" spans="2:6">
      <c r="B121" s="293"/>
      <c r="C121" s="293"/>
      <c r="D121" s="293"/>
      <c r="E121" s="293"/>
      <c r="F121" s="293"/>
    </row>
    <row r="122" spans="2:6">
      <c r="B122" s="293"/>
      <c r="C122" s="293"/>
      <c r="D122" s="293"/>
      <c r="E122" s="293"/>
      <c r="F122" s="293"/>
    </row>
    <row r="123" spans="2:6">
      <c r="B123" s="293"/>
      <c r="C123" s="293"/>
      <c r="D123" s="293"/>
      <c r="E123" s="293"/>
      <c r="F123" s="293"/>
    </row>
    <row r="124" spans="2:6">
      <c r="B124" s="293"/>
      <c r="C124" s="293"/>
      <c r="D124" s="293"/>
      <c r="E124" s="293"/>
      <c r="F124" s="293"/>
    </row>
    <row r="125" spans="2:6">
      <c r="B125" s="293"/>
      <c r="C125" s="293"/>
      <c r="D125" s="293"/>
      <c r="E125" s="293"/>
      <c r="F125" s="293"/>
    </row>
    <row r="126" spans="2:6">
      <c r="B126" s="293"/>
      <c r="C126" s="293"/>
      <c r="D126" s="293"/>
      <c r="E126" s="293"/>
      <c r="F126" s="293"/>
    </row>
    <row r="128" spans="2:6">
      <c r="B128" s="292"/>
      <c r="C128" s="292"/>
      <c r="D128" s="292"/>
      <c r="E128" s="292"/>
      <c r="F128" s="292"/>
    </row>
    <row r="129" spans="2:6">
      <c r="B129" s="292"/>
      <c r="C129" s="292"/>
      <c r="D129" s="292"/>
      <c r="E129" s="292"/>
      <c r="F129" s="292"/>
    </row>
    <row r="130" spans="2:6">
      <c r="B130" s="292"/>
      <c r="C130" s="292"/>
      <c r="D130" s="292"/>
      <c r="E130" s="292"/>
      <c r="F130" s="292"/>
    </row>
    <row r="131" spans="2:6">
      <c r="B131" s="292"/>
      <c r="C131" s="292"/>
      <c r="D131" s="292"/>
      <c r="E131" s="292"/>
      <c r="F131" s="292"/>
    </row>
    <row r="132" spans="2:6">
      <c r="B132" s="292"/>
      <c r="C132" s="292"/>
      <c r="D132" s="292"/>
      <c r="E132" s="292"/>
      <c r="F132" s="292"/>
    </row>
    <row r="135" spans="2:6">
      <c r="B135" s="292"/>
      <c r="C135" s="292"/>
      <c r="D135" s="292"/>
      <c r="E135" s="292"/>
      <c r="F135" s="292"/>
    </row>
    <row r="136" spans="2:6">
      <c r="B136" s="292"/>
      <c r="C136" s="292"/>
      <c r="D136" s="292"/>
      <c r="E136" s="292"/>
      <c r="F136" s="292"/>
    </row>
    <row r="137" spans="2:6">
      <c r="B137" s="292"/>
      <c r="C137" s="292"/>
      <c r="D137" s="292"/>
      <c r="E137" s="292"/>
      <c r="F137" s="292"/>
    </row>
    <row r="138" spans="2:6">
      <c r="B138" s="292"/>
      <c r="C138" s="292"/>
      <c r="D138" s="292"/>
      <c r="E138" s="292"/>
      <c r="F138" s="292"/>
    </row>
    <row r="141" spans="2:6">
      <c r="B141" s="292"/>
      <c r="C141" s="292"/>
      <c r="D141" s="292"/>
      <c r="E141" s="292"/>
      <c r="F141" s="292"/>
    </row>
    <row r="142" spans="2:6">
      <c r="B142" s="292"/>
      <c r="C142" s="292"/>
      <c r="D142" s="292"/>
      <c r="E142" s="292"/>
      <c r="F142" s="292"/>
    </row>
    <row r="143" spans="2:6">
      <c r="B143" s="292"/>
      <c r="C143" s="292"/>
      <c r="D143" s="292"/>
      <c r="E143" s="292"/>
      <c r="F143" s="292"/>
    </row>
    <row r="144" spans="2:6">
      <c r="B144" s="292"/>
      <c r="C144" s="292"/>
      <c r="D144" s="292"/>
      <c r="E144" s="292"/>
      <c r="F144" s="292"/>
    </row>
    <row r="145" spans="2:6">
      <c r="B145" s="292"/>
      <c r="C145" s="292"/>
      <c r="D145" s="292"/>
      <c r="E145" s="292"/>
      <c r="F145" s="292"/>
    </row>
    <row r="146" spans="2:6">
      <c r="B146" s="292"/>
      <c r="C146" s="292"/>
      <c r="D146" s="292"/>
      <c r="E146" s="292"/>
      <c r="F146" s="292"/>
    </row>
    <row r="147" spans="2:6">
      <c r="B147" s="292"/>
      <c r="C147" s="292"/>
      <c r="D147" s="292"/>
      <c r="E147" s="292"/>
      <c r="F147" s="292"/>
    </row>
    <row r="148" spans="2:6">
      <c r="B148" s="292"/>
      <c r="C148" s="292"/>
      <c r="D148" s="292"/>
      <c r="E148" s="292"/>
      <c r="F148" s="292"/>
    </row>
    <row r="149" spans="2:6">
      <c r="B149" s="292"/>
      <c r="C149" s="292"/>
      <c r="D149" s="292"/>
      <c r="E149" s="292"/>
      <c r="F149" s="292"/>
    </row>
    <row r="150" spans="2:6">
      <c r="B150" s="292"/>
      <c r="C150" s="292"/>
      <c r="D150" s="292"/>
      <c r="E150" s="292"/>
      <c r="F150" s="292"/>
    </row>
  </sheetData>
  <autoFilter ref="B16:F156" xr:uid="{00000000-0009-0000-0000-000004000000}"/>
  <phoneticPr fontId="3"/>
  <pageMargins left="0.78700000000000003" right="0.78700000000000003" top="0.98399999999999999" bottom="0.98399999999999999" header="0.51200000000000001" footer="0.51200000000000001"/>
  <pageSetup paperSize="9" scale="49" orientation="landscape" verticalDpi="300" r:id="rId1"/>
  <headerFooter alignWithMargins="0">
    <oddHeader>&amp;F</oddHeader>
    <oddFooter>&amp;P / &amp;N ページ</oddFooter>
  </headerFooter>
  <colBreaks count="1" manualBreakCount="1">
    <brk id="6" max="1048575" man="1"/>
  </colBreaks>
  <drawing r:id="rId2"/>
  <legacyDrawing r:id="rId3"/>
  <controls>
    <mc:AlternateContent xmlns:mc="http://schemas.openxmlformats.org/markup-compatibility/2006">
      <mc:Choice Requires="x14">
        <control shapeId="3073" r:id="rId4" name="btnCsvTorikomi">
          <controlPr defaultSize="0" autoLine="0" r:id="rId5">
            <anchor moveWithCells="1">
              <from>
                <xdr:col>1</xdr:col>
                <xdr:colOff>19050</xdr:colOff>
                <xdr:row>6</xdr:row>
                <xdr:rowOff>95250</xdr:rowOff>
              </from>
              <to>
                <xdr:col>1</xdr:col>
                <xdr:colOff>3781425</xdr:colOff>
                <xdr:row>13</xdr:row>
                <xdr:rowOff>85725</xdr:rowOff>
              </to>
            </anchor>
          </controlPr>
        </control>
      </mc:Choice>
      <mc:Fallback>
        <control shapeId="3073" r:id="rId4" name="btnCsvTorikomi"/>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indexed="15"/>
  </sheetPr>
  <dimension ref="A1"/>
  <sheetViews>
    <sheetView workbookViewId="0">
      <selection activeCell="I15" sqref="I15:I24"/>
    </sheetView>
  </sheetViews>
  <sheetFormatPr defaultRowHeight="13.5"/>
  <sheetData>
    <row r="1" spans="1:1" ht="17.25">
      <c r="A1" s="298" t="s">
        <v>221</v>
      </c>
    </row>
  </sheetData>
  <phoneticPr fontId="3"/>
  <pageMargins left="0.78700000000000003" right="0.78700000000000003" top="0.98399999999999999" bottom="0.98399999999999999" header="0.51200000000000001" footer="0.51200000000000001"/>
  <headerFooter alignWithMargins="0"/>
  <drawing r:id="rId1"/>
  <legacyDrawing r:id="rId2"/>
  <controls>
    <mc:AlternateContent xmlns:mc="http://schemas.openxmlformats.org/markup-compatibility/2006">
      <mc:Choice Requires="x14">
        <control shapeId="4097" r:id="rId3" name="CommandButton1">
          <controlPr defaultSize="0" autoLine="0" r:id="rId4">
            <anchor moveWithCells="1">
              <from>
                <xdr:col>1</xdr:col>
                <xdr:colOff>19050</xdr:colOff>
                <xdr:row>3</xdr:row>
                <xdr:rowOff>19050</xdr:rowOff>
              </from>
              <to>
                <xdr:col>6</xdr:col>
                <xdr:colOff>352425</xdr:colOff>
                <xdr:row>10</xdr:row>
                <xdr:rowOff>9525</xdr:rowOff>
              </to>
            </anchor>
          </controlPr>
        </control>
      </mc:Choice>
      <mc:Fallback>
        <control shapeId="4097" r:id="rId3"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indexed="13"/>
  </sheetPr>
  <dimension ref="A2:Y827"/>
  <sheetViews>
    <sheetView zoomScale="85" workbookViewId="0">
      <selection activeCell="M13" sqref="M13:N13"/>
    </sheetView>
  </sheetViews>
  <sheetFormatPr defaultRowHeight="11.25"/>
  <cols>
    <col min="1" max="2" width="8.25" style="299" customWidth="1"/>
    <col min="3" max="3" width="15.5" style="299" bestFit="1" customWidth="1"/>
    <col min="4" max="5" width="8.25" style="299" customWidth="1"/>
    <col min="6" max="6" width="15.5" style="299" bestFit="1" customWidth="1"/>
    <col min="7" max="8" width="5.625" style="299" customWidth="1"/>
    <col min="9" max="9" width="11.375" style="299" customWidth="1"/>
    <col min="10" max="10" width="13.625" style="299" customWidth="1"/>
    <col min="11" max="11" width="8.875" style="299" hidden="1" customWidth="1"/>
    <col min="12" max="12" width="6.125" style="299" customWidth="1"/>
    <col min="13" max="13" width="9" style="299"/>
    <col min="14" max="14" width="50.375" style="299" bestFit="1" customWidth="1"/>
    <col min="15" max="15" width="9" style="299"/>
    <col min="16" max="16" width="21.25" style="299" bestFit="1" customWidth="1"/>
    <col min="17" max="17" width="8.25" style="299" customWidth="1"/>
    <col min="18" max="18" width="16.375" style="299" bestFit="1" customWidth="1"/>
    <col min="19" max="19" width="12.875" style="299" bestFit="1" customWidth="1"/>
    <col min="20" max="20" width="5.625" style="299" customWidth="1"/>
    <col min="21" max="21" width="15.25" style="299" bestFit="1" customWidth="1"/>
    <col min="22" max="22" width="4.25" style="299" customWidth="1"/>
    <col min="23" max="23" width="13.875" style="299" bestFit="1" customWidth="1"/>
    <col min="24" max="24" width="4.875" style="299" customWidth="1"/>
    <col min="25" max="25" width="25.5" style="299" bestFit="1" customWidth="1"/>
    <col min="26" max="16384" width="9" style="299"/>
  </cols>
  <sheetData>
    <row r="2" spans="2:25">
      <c r="B2" s="299" t="s">
        <v>222</v>
      </c>
      <c r="C2" s="300" t="s">
        <v>223</v>
      </c>
      <c r="E2" s="299" t="s">
        <v>224</v>
      </c>
      <c r="F2" s="300" t="s">
        <v>223</v>
      </c>
      <c r="I2" s="299" t="s">
        <v>225</v>
      </c>
      <c r="J2" s="300" t="s">
        <v>223</v>
      </c>
      <c r="K2" s="300"/>
      <c r="M2" s="299" t="s">
        <v>1</v>
      </c>
      <c r="N2" s="300" t="s">
        <v>223</v>
      </c>
      <c r="P2" s="299" t="s">
        <v>226</v>
      </c>
      <c r="R2" s="299" t="s">
        <v>227</v>
      </c>
      <c r="S2" s="300" t="s">
        <v>228</v>
      </c>
      <c r="U2" s="299" t="s">
        <v>229</v>
      </c>
      <c r="W2" s="300" t="s">
        <v>223</v>
      </c>
      <c r="Y2" s="300" t="s">
        <v>223</v>
      </c>
    </row>
    <row r="3" spans="2:25" ht="12">
      <c r="B3" s="301" t="s">
        <v>222</v>
      </c>
      <c r="C3" s="301" t="s">
        <v>230</v>
      </c>
      <c r="E3" s="81" t="s">
        <v>224</v>
      </c>
      <c r="F3" s="81" t="s">
        <v>230</v>
      </c>
      <c r="I3" s="81" t="s">
        <v>231</v>
      </c>
      <c r="J3" s="81" t="s">
        <v>232</v>
      </c>
      <c r="K3" s="302" t="s">
        <v>233</v>
      </c>
      <c r="M3" s="81" t="s">
        <v>1</v>
      </c>
      <c r="N3" s="81" t="s">
        <v>234</v>
      </c>
      <c r="P3" s="81" t="s">
        <v>5</v>
      </c>
      <c r="R3" s="81" t="s">
        <v>235</v>
      </c>
      <c r="S3" s="81" t="s">
        <v>236</v>
      </c>
      <c r="U3" s="303" t="s">
        <v>229</v>
      </c>
      <c r="W3" s="81" t="s">
        <v>237</v>
      </c>
      <c r="Y3" s="81" t="s">
        <v>238</v>
      </c>
    </row>
    <row r="4" spans="2:25" ht="14.25">
      <c r="B4" s="304" t="s">
        <v>239</v>
      </c>
      <c r="C4" s="304" t="s">
        <v>240</v>
      </c>
      <c r="E4" s="304" t="s">
        <v>241</v>
      </c>
      <c r="F4" s="304" t="s">
        <v>242</v>
      </c>
      <c r="G4" s="305"/>
      <c r="H4" s="299">
        <v>1</v>
      </c>
      <c r="I4" s="304" t="s">
        <v>121</v>
      </c>
      <c r="J4" s="306" t="s">
        <v>121</v>
      </c>
      <c r="K4" s="302" t="s">
        <v>121</v>
      </c>
      <c r="M4" s="306" t="s">
        <v>243</v>
      </c>
      <c r="N4" s="306" t="s">
        <v>244</v>
      </c>
      <c r="P4" s="306"/>
      <c r="R4" s="306"/>
      <c r="S4" s="306"/>
      <c r="T4" s="305"/>
      <c r="U4" s="307" t="s">
        <v>245</v>
      </c>
      <c r="W4" s="304" t="s">
        <v>246</v>
      </c>
      <c r="Y4" s="304" t="s">
        <v>67</v>
      </c>
    </row>
    <row r="5" spans="2:25" ht="14.25">
      <c r="B5" s="304" t="s">
        <v>247</v>
      </c>
      <c r="C5" s="304" t="s">
        <v>248</v>
      </c>
      <c r="E5" s="304" t="s">
        <v>249</v>
      </c>
      <c r="F5" s="304" t="s">
        <v>250</v>
      </c>
      <c r="G5" s="305"/>
      <c r="H5" s="299">
        <v>2</v>
      </c>
      <c r="I5" s="304" t="s">
        <v>251</v>
      </c>
      <c r="J5" s="304" t="s">
        <v>251</v>
      </c>
      <c r="K5" s="308"/>
      <c r="M5" s="306" t="s">
        <v>252</v>
      </c>
      <c r="N5" s="306" t="s">
        <v>253</v>
      </c>
      <c r="P5" s="306" t="s">
        <v>254</v>
      </c>
      <c r="R5" s="306"/>
      <c r="S5" s="306"/>
      <c r="T5" s="305"/>
      <c r="U5" s="307" t="s">
        <v>255</v>
      </c>
      <c r="W5" s="304" t="s">
        <v>256</v>
      </c>
      <c r="Y5" s="304" t="s">
        <v>70</v>
      </c>
    </row>
    <row r="6" spans="2:25" ht="14.25">
      <c r="B6" s="304" t="s">
        <v>257</v>
      </c>
      <c r="C6" s="304" t="s">
        <v>258</v>
      </c>
      <c r="E6" s="304" t="s">
        <v>259</v>
      </c>
      <c r="F6" s="304" t="s">
        <v>260</v>
      </c>
      <c r="G6" s="305"/>
      <c r="H6" s="299">
        <v>3</v>
      </c>
      <c r="I6" s="304" t="s">
        <v>261</v>
      </c>
      <c r="J6" s="306" t="s">
        <v>261</v>
      </c>
      <c r="K6" s="302" t="s">
        <v>261</v>
      </c>
      <c r="M6" s="306" t="s">
        <v>262</v>
      </c>
      <c r="N6" s="306" t="s">
        <v>263</v>
      </c>
      <c r="P6" s="306" t="s">
        <v>264</v>
      </c>
      <c r="R6" s="306"/>
      <c r="S6" s="306"/>
      <c r="T6" s="305"/>
      <c r="U6" s="307" t="s">
        <v>265</v>
      </c>
      <c r="W6" s="304" t="s">
        <v>266</v>
      </c>
      <c r="Y6" s="304" t="s">
        <v>73</v>
      </c>
    </row>
    <row r="7" spans="2:25" ht="14.25">
      <c r="B7" s="304" t="s">
        <v>267</v>
      </c>
      <c r="C7" s="304" t="s">
        <v>268</v>
      </c>
      <c r="E7" s="304" t="s">
        <v>269</v>
      </c>
      <c r="F7" s="304" t="s">
        <v>270</v>
      </c>
      <c r="G7" s="305"/>
      <c r="H7" s="299">
        <v>4</v>
      </c>
      <c r="I7" s="304" t="s">
        <v>89</v>
      </c>
      <c r="J7" s="306" t="s">
        <v>89</v>
      </c>
      <c r="K7" s="302" t="s">
        <v>89</v>
      </c>
      <c r="M7" s="306" t="s">
        <v>271</v>
      </c>
      <c r="N7" s="306" t="s">
        <v>272</v>
      </c>
      <c r="R7" s="306"/>
      <c r="S7" s="306"/>
      <c r="T7" s="305"/>
      <c r="U7" s="307" t="s">
        <v>273</v>
      </c>
      <c r="W7" s="304" t="s">
        <v>274</v>
      </c>
      <c r="Y7" s="304" t="s">
        <v>74</v>
      </c>
    </row>
    <row r="8" spans="2:25" ht="22.5">
      <c r="B8" s="304" t="s">
        <v>275</v>
      </c>
      <c r="C8" s="304" t="s">
        <v>276</v>
      </c>
      <c r="E8" s="304" t="s">
        <v>277</v>
      </c>
      <c r="F8" s="304" t="s">
        <v>278</v>
      </c>
      <c r="H8" s="299">
        <v>5</v>
      </c>
      <c r="I8" s="304" t="s">
        <v>279</v>
      </c>
      <c r="J8" s="309" t="s">
        <v>279</v>
      </c>
      <c r="K8" s="310" t="s">
        <v>280</v>
      </c>
      <c r="M8" s="306" t="s">
        <v>281</v>
      </c>
      <c r="N8" s="306" t="s">
        <v>282</v>
      </c>
      <c r="R8" s="306"/>
      <c r="S8" s="306"/>
      <c r="U8" s="307" t="s">
        <v>265</v>
      </c>
      <c r="W8" s="304" t="s">
        <v>283</v>
      </c>
      <c r="Y8" s="304" t="s">
        <v>75</v>
      </c>
    </row>
    <row r="9" spans="2:25" ht="14.25">
      <c r="B9" s="304" t="s">
        <v>284</v>
      </c>
      <c r="C9" s="304" t="s">
        <v>285</v>
      </c>
      <c r="E9" s="304" t="s">
        <v>286</v>
      </c>
      <c r="F9" s="304" t="s">
        <v>287</v>
      </c>
      <c r="H9" s="299">
        <v>6</v>
      </c>
      <c r="I9" s="304" t="s">
        <v>288</v>
      </c>
      <c r="J9" s="304" t="s">
        <v>288</v>
      </c>
      <c r="K9" s="308"/>
      <c r="M9" s="306" t="s">
        <v>289</v>
      </c>
      <c r="N9" s="306" t="s">
        <v>290</v>
      </c>
      <c r="R9" s="306"/>
      <c r="S9" s="306"/>
      <c r="U9" s="307" t="s">
        <v>291</v>
      </c>
      <c r="W9" s="304" t="s">
        <v>292</v>
      </c>
      <c r="Y9" s="304" t="s">
        <v>76</v>
      </c>
    </row>
    <row r="10" spans="2:25" ht="14.25">
      <c r="B10" s="304" t="s">
        <v>293</v>
      </c>
      <c r="C10" s="304" t="s">
        <v>294</v>
      </c>
      <c r="E10" s="304" t="s">
        <v>295</v>
      </c>
      <c r="F10" s="304" t="s">
        <v>296</v>
      </c>
      <c r="H10" s="299">
        <v>7</v>
      </c>
      <c r="I10" s="304" t="s">
        <v>297</v>
      </c>
      <c r="J10" s="304" t="s">
        <v>297</v>
      </c>
      <c r="K10" s="308"/>
      <c r="M10" s="306" t="s">
        <v>298</v>
      </c>
      <c r="N10" s="306" t="s">
        <v>299</v>
      </c>
      <c r="R10" s="306"/>
      <c r="S10" s="306"/>
      <c r="U10" s="307" t="s">
        <v>300</v>
      </c>
      <c r="W10" s="304" t="s">
        <v>301</v>
      </c>
      <c r="Y10" s="304" t="s">
        <v>77</v>
      </c>
    </row>
    <row r="11" spans="2:25" ht="22.5">
      <c r="B11" s="304" t="s">
        <v>302</v>
      </c>
      <c r="C11" s="304" t="s">
        <v>303</v>
      </c>
      <c r="E11" s="304" t="s">
        <v>304</v>
      </c>
      <c r="F11" s="304" t="s">
        <v>305</v>
      </c>
      <c r="H11" s="299">
        <v>8</v>
      </c>
      <c r="I11" s="304" t="s">
        <v>306</v>
      </c>
      <c r="J11" s="309" t="s">
        <v>307</v>
      </c>
      <c r="K11" s="310" t="s">
        <v>308</v>
      </c>
      <c r="M11" s="306" t="s">
        <v>309</v>
      </c>
      <c r="N11" s="306" t="s">
        <v>310</v>
      </c>
      <c r="R11" s="306"/>
      <c r="S11" s="306"/>
      <c r="U11" s="307" t="s">
        <v>311</v>
      </c>
      <c r="Y11" s="304" t="s">
        <v>80</v>
      </c>
    </row>
    <row r="12" spans="2:25" ht="14.25">
      <c r="B12" s="304" t="s">
        <v>312</v>
      </c>
      <c r="C12" s="304" t="s">
        <v>313</v>
      </c>
      <c r="E12" s="304" t="s">
        <v>314</v>
      </c>
      <c r="F12" s="304" t="s">
        <v>315</v>
      </c>
      <c r="H12" s="299">
        <v>9</v>
      </c>
      <c r="I12" s="304" t="s">
        <v>316</v>
      </c>
      <c r="J12" s="306" t="s">
        <v>317</v>
      </c>
      <c r="K12" s="308"/>
      <c r="M12" s="306" t="s">
        <v>318</v>
      </c>
      <c r="N12" s="306" t="s">
        <v>319</v>
      </c>
      <c r="R12" s="306"/>
      <c r="S12" s="306"/>
      <c r="U12" s="307" t="s">
        <v>320</v>
      </c>
      <c r="Y12" s="304" t="s">
        <v>82</v>
      </c>
    </row>
    <row r="13" spans="2:25" ht="22.5">
      <c r="B13" s="304" t="s">
        <v>321</v>
      </c>
      <c r="C13" s="304" t="s">
        <v>322</v>
      </c>
      <c r="E13" s="304" t="s">
        <v>323</v>
      </c>
      <c r="F13" s="304" t="s">
        <v>324</v>
      </c>
      <c r="H13" s="299">
        <v>10</v>
      </c>
      <c r="I13" s="304" t="s">
        <v>325</v>
      </c>
      <c r="J13" s="306" t="s">
        <v>71</v>
      </c>
      <c r="K13" s="310" t="s">
        <v>326</v>
      </c>
      <c r="M13" s="306" t="s">
        <v>655</v>
      </c>
      <c r="N13" s="306" t="s">
        <v>656</v>
      </c>
      <c r="R13" s="306"/>
      <c r="S13" s="306"/>
      <c r="U13" s="307" t="s">
        <v>327</v>
      </c>
      <c r="Y13" s="304" t="s">
        <v>84</v>
      </c>
    </row>
    <row r="14" spans="2:25" ht="22.5">
      <c r="B14" s="304" t="s">
        <v>328</v>
      </c>
      <c r="C14" s="304" t="s">
        <v>329</v>
      </c>
      <c r="E14" s="304" t="s">
        <v>330</v>
      </c>
      <c r="F14" s="304" t="s">
        <v>331</v>
      </c>
      <c r="H14" s="299">
        <v>11</v>
      </c>
      <c r="I14" s="304" t="s">
        <v>332</v>
      </c>
      <c r="J14" s="306" t="s">
        <v>333</v>
      </c>
      <c r="K14" s="310" t="s">
        <v>334</v>
      </c>
      <c r="R14" s="306"/>
      <c r="S14" s="306"/>
      <c r="U14" s="307" t="s">
        <v>335</v>
      </c>
      <c r="Y14" s="304" t="s">
        <v>86</v>
      </c>
    </row>
    <row r="15" spans="2:25" ht="14.25">
      <c r="B15" s="304" t="s">
        <v>336</v>
      </c>
      <c r="C15" s="304" t="s">
        <v>337</v>
      </c>
      <c r="E15" s="304" t="s">
        <v>338</v>
      </c>
      <c r="F15" s="304" t="s">
        <v>339</v>
      </c>
      <c r="H15" s="299">
        <v>12</v>
      </c>
      <c r="I15" s="304" t="s">
        <v>340</v>
      </c>
      <c r="J15" s="304" t="s">
        <v>340</v>
      </c>
      <c r="K15" s="308"/>
      <c r="R15" s="306"/>
      <c r="S15" s="306"/>
      <c r="U15" s="307"/>
      <c r="Y15" s="304" t="s">
        <v>87</v>
      </c>
    </row>
    <row r="16" spans="2:25" ht="22.5">
      <c r="B16" s="304" t="s">
        <v>341</v>
      </c>
      <c r="C16" s="306" t="s">
        <v>342</v>
      </c>
      <c r="E16" s="304" t="s">
        <v>343</v>
      </c>
      <c r="F16" s="304" t="s">
        <v>344</v>
      </c>
      <c r="H16" s="299">
        <v>13</v>
      </c>
      <c r="I16" s="304" t="s">
        <v>78</v>
      </c>
      <c r="J16" s="306" t="s">
        <v>78</v>
      </c>
      <c r="K16" s="310" t="s">
        <v>345</v>
      </c>
      <c r="R16" s="306"/>
      <c r="S16" s="306"/>
      <c r="U16" s="307"/>
      <c r="Y16" s="304" t="s">
        <v>88</v>
      </c>
    </row>
    <row r="17" spans="1:25" ht="14.25">
      <c r="A17" s="299" t="s">
        <v>346</v>
      </c>
      <c r="E17" s="304" t="s">
        <v>347</v>
      </c>
      <c r="F17" s="304" t="s">
        <v>348</v>
      </c>
      <c r="H17" s="299">
        <v>14</v>
      </c>
      <c r="I17" s="304" t="s">
        <v>349</v>
      </c>
      <c r="J17" s="304" t="s">
        <v>349</v>
      </c>
      <c r="K17" s="308"/>
      <c r="R17" s="306"/>
      <c r="S17" s="306"/>
      <c r="U17" s="307"/>
      <c r="Y17" s="304" t="s">
        <v>90</v>
      </c>
    </row>
    <row r="18" spans="1:25" ht="14.25">
      <c r="A18" s="299" t="s">
        <v>346</v>
      </c>
      <c r="E18" s="304" t="s">
        <v>350</v>
      </c>
      <c r="F18" s="304" t="s">
        <v>351</v>
      </c>
      <c r="H18" s="299">
        <v>15</v>
      </c>
      <c r="I18" s="304" t="s">
        <v>352</v>
      </c>
      <c r="J18" s="304" t="s">
        <v>353</v>
      </c>
      <c r="K18" s="308"/>
      <c r="U18" s="307"/>
      <c r="Y18" s="304" t="s">
        <v>92</v>
      </c>
    </row>
    <row r="19" spans="1:25">
      <c r="A19" s="299" t="s">
        <v>346</v>
      </c>
      <c r="H19" s="299">
        <v>16</v>
      </c>
      <c r="I19" s="304" t="s">
        <v>354</v>
      </c>
      <c r="J19" s="306" t="s">
        <v>354</v>
      </c>
      <c r="K19" s="302" t="s">
        <v>354</v>
      </c>
      <c r="U19" s="311"/>
      <c r="Y19" s="304" t="s">
        <v>94</v>
      </c>
    </row>
    <row r="20" spans="1:25">
      <c r="A20" s="299" t="s">
        <v>346</v>
      </c>
      <c r="K20" s="300"/>
      <c r="Y20" s="304" t="s">
        <v>95</v>
      </c>
    </row>
    <row r="21" spans="1:25">
      <c r="A21" s="299" t="s">
        <v>346</v>
      </c>
      <c r="Y21" s="304" t="s">
        <v>96</v>
      </c>
    </row>
    <row r="22" spans="1:25">
      <c r="A22" s="299" t="s">
        <v>346</v>
      </c>
      <c r="Y22" s="304" t="s">
        <v>98</v>
      </c>
    </row>
    <row r="23" spans="1:25">
      <c r="A23" s="299" t="s">
        <v>346</v>
      </c>
      <c r="Y23" s="304" t="s">
        <v>99</v>
      </c>
    </row>
    <row r="24" spans="1:25">
      <c r="A24" s="299" t="s">
        <v>346</v>
      </c>
      <c r="Y24" s="304" t="s">
        <v>100</v>
      </c>
    </row>
    <row r="25" spans="1:25">
      <c r="A25" s="299" t="s">
        <v>355</v>
      </c>
      <c r="Y25" s="304" t="s">
        <v>101</v>
      </c>
    </row>
    <row r="26" spans="1:25">
      <c r="A26" s="299" t="s">
        <v>346</v>
      </c>
      <c r="Y26" s="304" t="s">
        <v>102</v>
      </c>
    </row>
    <row r="27" spans="1:25">
      <c r="A27" s="299" t="s">
        <v>346</v>
      </c>
      <c r="Y27" s="304" t="s">
        <v>103</v>
      </c>
    </row>
    <row r="28" spans="1:25">
      <c r="A28" s="299" t="s">
        <v>346</v>
      </c>
      <c r="Y28" s="304" t="s">
        <v>104</v>
      </c>
    </row>
    <row r="29" spans="1:25">
      <c r="A29" s="299" t="s">
        <v>346</v>
      </c>
      <c r="Y29" s="304" t="s">
        <v>105</v>
      </c>
    </row>
    <row r="30" spans="1:25">
      <c r="A30" s="299" t="s">
        <v>346</v>
      </c>
      <c r="Y30" s="304" t="s">
        <v>106</v>
      </c>
    </row>
    <row r="31" spans="1:25">
      <c r="A31" s="299" t="s">
        <v>346</v>
      </c>
      <c r="Y31" s="304" t="s">
        <v>107</v>
      </c>
    </row>
    <row r="32" spans="1:25">
      <c r="A32" s="299" t="s">
        <v>346</v>
      </c>
      <c r="Y32" s="304" t="s">
        <v>108</v>
      </c>
    </row>
    <row r="33" spans="1:25">
      <c r="A33" s="299" t="s">
        <v>346</v>
      </c>
      <c r="Y33" s="304" t="s">
        <v>109</v>
      </c>
    </row>
    <row r="34" spans="1:25">
      <c r="A34" s="299" t="s">
        <v>346</v>
      </c>
      <c r="Y34" s="304" t="s">
        <v>110</v>
      </c>
    </row>
    <row r="35" spans="1:25">
      <c r="A35" s="299" t="s">
        <v>346</v>
      </c>
      <c r="Y35" s="304" t="s">
        <v>112</v>
      </c>
    </row>
    <row r="36" spans="1:25">
      <c r="A36" s="299" t="s">
        <v>346</v>
      </c>
      <c r="Y36" s="304" t="s">
        <v>113</v>
      </c>
    </row>
    <row r="37" spans="1:25">
      <c r="A37" s="299" t="s">
        <v>346</v>
      </c>
      <c r="Y37" s="304" t="s">
        <v>114</v>
      </c>
    </row>
    <row r="38" spans="1:25">
      <c r="A38" s="299" t="s">
        <v>346</v>
      </c>
      <c r="Y38" s="304" t="s">
        <v>115</v>
      </c>
    </row>
    <row r="39" spans="1:25">
      <c r="A39" s="299" t="s">
        <v>346</v>
      </c>
      <c r="Y39" s="304" t="s">
        <v>116</v>
      </c>
    </row>
    <row r="40" spans="1:25">
      <c r="A40" s="299" t="s">
        <v>346</v>
      </c>
      <c r="Y40" s="304" t="s">
        <v>117</v>
      </c>
    </row>
    <row r="41" spans="1:25">
      <c r="A41" s="299" t="s">
        <v>346</v>
      </c>
      <c r="Y41" s="304" t="s">
        <v>118</v>
      </c>
    </row>
    <row r="42" spans="1:25">
      <c r="A42" s="299" t="s">
        <v>346</v>
      </c>
      <c r="Y42" s="304" t="s">
        <v>119</v>
      </c>
    </row>
    <row r="43" spans="1:25">
      <c r="A43" s="299" t="s">
        <v>346</v>
      </c>
      <c r="Y43" s="304" t="s">
        <v>120</v>
      </c>
    </row>
    <row r="44" spans="1:25">
      <c r="A44" s="299" t="s">
        <v>346</v>
      </c>
      <c r="Y44" s="304" t="s">
        <v>122</v>
      </c>
    </row>
    <row r="45" spans="1:25">
      <c r="A45" s="299" t="s">
        <v>346</v>
      </c>
      <c r="Y45" s="304" t="s">
        <v>123</v>
      </c>
    </row>
    <row r="46" spans="1:25">
      <c r="A46" s="299" t="s">
        <v>346</v>
      </c>
      <c r="Y46" s="304" t="s">
        <v>124</v>
      </c>
    </row>
    <row r="47" spans="1:25">
      <c r="A47" s="299" t="s">
        <v>346</v>
      </c>
      <c r="Y47" s="304" t="s">
        <v>125</v>
      </c>
    </row>
    <row r="48" spans="1:25">
      <c r="A48" s="299" t="s">
        <v>346</v>
      </c>
      <c r="Y48" s="304" t="s">
        <v>127</v>
      </c>
    </row>
    <row r="49" spans="1:25">
      <c r="A49" s="299" t="s">
        <v>346</v>
      </c>
      <c r="Y49" s="304" t="s">
        <v>128</v>
      </c>
    </row>
    <row r="50" spans="1:25">
      <c r="A50" s="299" t="s">
        <v>346</v>
      </c>
      <c r="Y50" s="304" t="s">
        <v>129</v>
      </c>
    </row>
    <row r="51" spans="1:25">
      <c r="A51" s="299" t="s">
        <v>346</v>
      </c>
    </row>
    <row r="52" spans="1:25">
      <c r="A52" s="299" t="s">
        <v>346</v>
      </c>
    </row>
    <row r="53" spans="1:25">
      <c r="A53" s="299" t="s">
        <v>346</v>
      </c>
    </row>
    <row r="54" spans="1:25">
      <c r="A54" s="299" t="s">
        <v>356</v>
      </c>
    </row>
    <row r="55" spans="1:25">
      <c r="A55" s="299" t="s">
        <v>346</v>
      </c>
    </row>
    <row r="56" spans="1:25">
      <c r="A56" s="299" t="s">
        <v>346</v>
      </c>
    </row>
    <row r="57" spans="1:25">
      <c r="A57" s="299" t="s">
        <v>357</v>
      </c>
    </row>
    <row r="58" spans="1:25">
      <c r="A58" s="299" t="s">
        <v>357</v>
      </c>
    </row>
    <row r="59" spans="1:25">
      <c r="A59" s="299" t="s">
        <v>357</v>
      </c>
    </row>
    <row r="60" spans="1:25">
      <c r="A60" s="299" t="s">
        <v>357</v>
      </c>
    </row>
    <row r="61" spans="1:25">
      <c r="A61" s="299" t="s">
        <v>357</v>
      </c>
    </row>
    <row r="62" spans="1:25">
      <c r="A62" s="299" t="s">
        <v>357</v>
      </c>
    </row>
    <row r="63" spans="1:25">
      <c r="A63" s="299" t="s">
        <v>357</v>
      </c>
    </row>
    <row r="64" spans="1:25">
      <c r="A64" s="299" t="s">
        <v>357</v>
      </c>
    </row>
    <row r="65" spans="1:1">
      <c r="A65" s="299" t="s">
        <v>357</v>
      </c>
    </row>
    <row r="66" spans="1:1">
      <c r="A66" s="299" t="s">
        <v>357</v>
      </c>
    </row>
    <row r="67" spans="1:1">
      <c r="A67" s="299" t="s">
        <v>357</v>
      </c>
    </row>
    <row r="68" spans="1:1">
      <c r="A68" s="299" t="s">
        <v>357</v>
      </c>
    </row>
    <row r="69" spans="1:1">
      <c r="A69" s="299" t="s">
        <v>357</v>
      </c>
    </row>
    <row r="70" spans="1:1">
      <c r="A70" s="299" t="s">
        <v>357</v>
      </c>
    </row>
    <row r="71" spans="1:1">
      <c r="A71" s="299" t="s">
        <v>357</v>
      </c>
    </row>
    <row r="72" spans="1:1">
      <c r="A72" s="299" t="s">
        <v>357</v>
      </c>
    </row>
    <row r="73" spans="1:1">
      <c r="A73" s="299" t="s">
        <v>357</v>
      </c>
    </row>
    <row r="74" spans="1:1">
      <c r="A74" s="299" t="s">
        <v>357</v>
      </c>
    </row>
    <row r="75" spans="1:1">
      <c r="A75" s="299" t="s">
        <v>357</v>
      </c>
    </row>
    <row r="76" spans="1:1">
      <c r="A76" s="299" t="s">
        <v>357</v>
      </c>
    </row>
    <row r="77" spans="1:1">
      <c r="A77" s="299" t="s">
        <v>357</v>
      </c>
    </row>
    <row r="78" spans="1:1">
      <c r="A78" s="299" t="s">
        <v>357</v>
      </c>
    </row>
    <row r="79" spans="1:1">
      <c r="A79" s="299" t="s">
        <v>357</v>
      </c>
    </row>
    <row r="80" spans="1:1">
      <c r="A80" s="299" t="s">
        <v>357</v>
      </c>
    </row>
    <row r="81" spans="1:1">
      <c r="A81" s="299" t="s">
        <v>357</v>
      </c>
    </row>
    <row r="82" spans="1:1">
      <c r="A82" s="299" t="s">
        <v>357</v>
      </c>
    </row>
    <row r="83" spans="1:1">
      <c r="A83" s="299" t="s">
        <v>357</v>
      </c>
    </row>
    <row r="84" spans="1:1">
      <c r="A84" s="299" t="s">
        <v>357</v>
      </c>
    </row>
    <row r="85" spans="1:1">
      <c r="A85" s="299" t="s">
        <v>358</v>
      </c>
    </row>
    <row r="86" spans="1:1">
      <c r="A86" s="299" t="s">
        <v>357</v>
      </c>
    </row>
    <row r="87" spans="1:1">
      <c r="A87" s="299" t="s">
        <v>357</v>
      </c>
    </row>
    <row r="88" spans="1:1">
      <c r="A88" s="299" t="s">
        <v>357</v>
      </c>
    </row>
    <row r="89" spans="1:1">
      <c r="A89" s="299" t="s">
        <v>359</v>
      </c>
    </row>
    <row r="90" spans="1:1">
      <c r="A90" s="299" t="s">
        <v>357</v>
      </c>
    </row>
    <row r="91" spans="1:1">
      <c r="A91" s="299" t="s">
        <v>357</v>
      </c>
    </row>
    <row r="92" spans="1:1">
      <c r="A92" s="299" t="s">
        <v>359</v>
      </c>
    </row>
    <row r="93" spans="1:1">
      <c r="A93" s="299" t="s">
        <v>358</v>
      </c>
    </row>
    <row r="94" spans="1:1">
      <c r="A94" s="299" t="s">
        <v>357</v>
      </c>
    </row>
    <row r="95" spans="1:1">
      <c r="A95" s="299" t="s">
        <v>357</v>
      </c>
    </row>
    <row r="96" spans="1:1">
      <c r="A96" s="299" t="s">
        <v>357</v>
      </c>
    </row>
    <row r="97" spans="1:1">
      <c r="A97" s="299" t="s">
        <v>358</v>
      </c>
    </row>
    <row r="98" spans="1:1">
      <c r="A98" s="299" t="s">
        <v>357</v>
      </c>
    </row>
    <row r="99" spans="1:1">
      <c r="A99" s="299" t="s">
        <v>357</v>
      </c>
    </row>
    <row r="100" spans="1:1">
      <c r="A100" s="299" t="s">
        <v>357</v>
      </c>
    </row>
    <row r="101" spans="1:1">
      <c r="A101" s="299" t="s">
        <v>357</v>
      </c>
    </row>
    <row r="102" spans="1:1">
      <c r="A102" s="299" t="s">
        <v>358</v>
      </c>
    </row>
    <row r="103" spans="1:1">
      <c r="A103" s="299" t="s">
        <v>359</v>
      </c>
    </row>
    <row r="104" spans="1:1">
      <c r="A104" s="299" t="s">
        <v>357</v>
      </c>
    </row>
    <row r="105" spans="1:1">
      <c r="A105" s="299" t="s">
        <v>357</v>
      </c>
    </row>
    <row r="106" spans="1:1">
      <c r="A106" s="299" t="s">
        <v>360</v>
      </c>
    </row>
    <row r="107" spans="1:1">
      <c r="A107" s="299" t="s">
        <v>360</v>
      </c>
    </row>
    <row r="108" spans="1:1">
      <c r="A108" s="299" t="s">
        <v>358</v>
      </c>
    </row>
    <row r="109" spans="1:1">
      <c r="A109" s="299" t="s">
        <v>357</v>
      </c>
    </row>
    <row r="110" spans="1:1">
      <c r="A110" s="299" t="s">
        <v>357</v>
      </c>
    </row>
    <row r="111" spans="1:1">
      <c r="A111" s="299" t="s">
        <v>357</v>
      </c>
    </row>
    <row r="112" spans="1:1">
      <c r="A112" s="299" t="s">
        <v>357</v>
      </c>
    </row>
    <row r="113" spans="1:1">
      <c r="A113" s="299" t="s">
        <v>357</v>
      </c>
    </row>
    <row r="114" spans="1:1">
      <c r="A114" s="299" t="s">
        <v>358</v>
      </c>
    </row>
    <row r="115" spans="1:1">
      <c r="A115" s="299" t="s">
        <v>357</v>
      </c>
    </row>
    <row r="116" spans="1:1">
      <c r="A116" s="299" t="s">
        <v>357</v>
      </c>
    </row>
    <row r="117" spans="1:1">
      <c r="A117" s="299" t="s">
        <v>357</v>
      </c>
    </row>
    <row r="118" spans="1:1">
      <c r="A118" s="299" t="s">
        <v>359</v>
      </c>
    </row>
    <row r="119" spans="1:1">
      <c r="A119" s="299" t="s">
        <v>357</v>
      </c>
    </row>
    <row r="120" spans="1:1">
      <c r="A120" s="299" t="s">
        <v>358</v>
      </c>
    </row>
    <row r="121" spans="1:1">
      <c r="A121" s="299" t="s">
        <v>357</v>
      </c>
    </row>
    <row r="122" spans="1:1">
      <c r="A122" s="299" t="s">
        <v>357</v>
      </c>
    </row>
    <row r="123" spans="1:1">
      <c r="A123" s="299" t="s">
        <v>357</v>
      </c>
    </row>
    <row r="124" spans="1:1">
      <c r="A124" s="299" t="s">
        <v>359</v>
      </c>
    </row>
    <row r="125" spans="1:1">
      <c r="A125" s="299" t="s">
        <v>358</v>
      </c>
    </row>
    <row r="126" spans="1:1">
      <c r="A126" s="299" t="s">
        <v>357</v>
      </c>
    </row>
    <row r="127" spans="1:1">
      <c r="A127" s="299" t="s">
        <v>357</v>
      </c>
    </row>
    <row r="128" spans="1:1">
      <c r="A128" s="299" t="s">
        <v>360</v>
      </c>
    </row>
    <row r="129" spans="1:1">
      <c r="A129" s="299" t="s">
        <v>357</v>
      </c>
    </row>
    <row r="130" spans="1:1">
      <c r="A130" s="299" t="s">
        <v>357</v>
      </c>
    </row>
    <row r="131" spans="1:1">
      <c r="A131" s="299" t="s">
        <v>357</v>
      </c>
    </row>
    <row r="132" spans="1:1">
      <c r="A132" s="299" t="s">
        <v>357</v>
      </c>
    </row>
    <row r="133" spans="1:1">
      <c r="A133" s="299" t="s">
        <v>357</v>
      </c>
    </row>
    <row r="134" spans="1:1">
      <c r="A134" s="299" t="s">
        <v>357</v>
      </c>
    </row>
    <row r="135" spans="1:1">
      <c r="A135" s="299" t="s">
        <v>357</v>
      </c>
    </row>
    <row r="136" spans="1:1">
      <c r="A136" s="299" t="s">
        <v>357</v>
      </c>
    </row>
    <row r="137" spans="1:1">
      <c r="A137" s="299" t="s">
        <v>357</v>
      </c>
    </row>
    <row r="138" spans="1:1">
      <c r="A138" s="299" t="s">
        <v>357</v>
      </c>
    </row>
    <row r="139" spans="1:1">
      <c r="A139" s="299" t="s">
        <v>357</v>
      </c>
    </row>
    <row r="140" spans="1:1">
      <c r="A140" s="299" t="s">
        <v>357</v>
      </c>
    </row>
    <row r="141" spans="1:1">
      <c r="A141" s="299" t="s">
        <v>357</v>
      </c>
    </row>
    <row r="142" spans="1:1">
      <c r="A142" s="299" t="s">
        <v>359</v>
      </c>
    </row>
    <row r="143" spans="1:1">
      <c r="A143" s="299" t="s">
        <v>357</v>
      </c>
    </row>
    <row r="144" spans="1:1">
      <c r="A144" s="299" t="s">
        <v>357</v>
      </c>
    </row>
    <row r="145" spans="1:1">
      <c r="A145" s="299" t="s">
        <v>357</v>
      </c>
    </row>
    <row r="146" spans="1:1">
      <c r="A146" s="299" t="s">
        <v>357</v>
      </c>
    </row>
    <row r="147" spans="1:1">
      <c r="A147" s="299" t="s">
        <v>357</v>
      </c>
    </row>
    <row r="148" spans="1:1">
      <c r="A148" s="299" t="s">
        <v>357</v>
      </c>
    </row>
    <row r="149" spans="1:1">
      <c r="A149" s="299" t="s">
        <v>358</v>
      </c>
    </row>
    <row r="150" spans="1:1">
      <c r="A150" s="299" t="s">
        <v>357</v>
      </c>
    </row>
    <row r="151" spans="1:1">
      <c r="A151" s="299" t="s">
        <v>357</v>
      </c>
    </row>
    <row r="152" spans="1:1">
      <c r="A152" s="299" t="s">
        <v>357</v>
      </c>
    </row>
    <row r="153" spans="1:1">
      <c r="A153" s="299" t="s">
        <v>357</v>
      </c>
    </row>
    <row r="154" spans="1:1">
      <c r="A154" s="299" t="s">
        <v>357</v>
      </c>
    </row>
    <row r="155" spans="1:1">
      <c r="A155" s="299" t="s">
        <v>357</v>
      </c>
    </row>
    <row r="156" spans="1:1">
      <c r="A156" s="299" t="s">
        <v>357</v>
      </c>
    </row>
    <row r="157" spans="1:1">
      <c r="A157" s="299" t="s">
        <v>357</v>
      </c>
    </row>
    <row r="158" spans="1:1">
      <c r="A158" s="299" t="s">
        <v>357</v>
      </c>
    </row>
    <row r="159" spans="1:1">
      <c r="A159" s="299" t="s">
        <v>357</v>
      </c>
    </row>
    <row r="160" spans="1:1">
      <c r="A160" s="299" t="s">
        <v>357</v>
      </c>
    </row>
    <row r="161" spans="1:1">
      <c r="A161" s="299" t="s">
        <v>357</v>
      </c>
    </row>
    <row r="162" spans="1:1">
      <c r="A162" s="299" t="s">
        <v>357</v>
      </c>
    </row>
    <row r="163" spans="1:1">
      <c r="A163" s="299" t="s">
        <v>357</v>
      </c>
    </row>
    <row r="164" spans="1:1">
      <c r="A164" s="299" t="s">
        <v>357</v>
      </c>
    </row>
    <row r="165" spans="1:1">
      <c r="A165" s="299" t="s">
        <v>357</v>
      </c>
    </row>
    <row r="166" spans="1:1">
      <c r="A166" s="299" t="s">
        <v>360</v>
      </c>
    </row>
    <row r="167" spans="1:1">
      <c r="A167" s="299" t="s">
        <v>357</v>
      </c>
    </row>
    <row r="168" spans="1:1">
      <c r="A168" s="299" t="s">
        <v>357</v>
      </c>
    </row>
    <row r="169" spans="1:1">
      <c r="A169" s="299" t="s">
        <v>357</v>
      </c>
    </row>
    <row r="170" spans="1:1">
      <c r="A170" s="299" t="s">
        <v>357</v>
      </c>
    </row>
    <row r="171" spans="1:1">
      <c r="A171" s="299" t="s">
        <v>357</v>
      </c>
    </row>
    <row r="172" spans="1:1">
      <c r="A172" s="299" t="s">
        <v>357</v>
      </c>
    </row>
    <row r="173" spans="1:1">
      <c r="A173" s="299" t="s">
        <v>358</v>
      </c>
    </row>
    <row r="174" spans="1:1">
      <c r="A174" s="299" t="s">
        <v>357</v>
      </c>
    </row>
    <row r="175" spans="1:1">
      <c r="A175" s="299" t="s">
        <v>357</v>
      </c>
    </row>
    <row r="176" spans="1:1">
      <c r="A176" s="299" t="s">
        <v>357</v>
      </c>
    </row>
    <row r="177" spans="1:1">
      <c r="A177" s="299" t="s">
        <v>357</v>
      </c>
    </row>
    <row r="178" spans="1:1">
      <c r="A178" s="299" t="s">
        <v>357</v>
      </c>
    </row>
    <row r="179" spans="1:1">
      <c r="A179" s="299" t="s">
        <v>359</v>
      </c>
    </row>
    <row r="180" spans="1:1">
      <c r="A180" s="299" t="s">
        <v>357</v>
      </c>
    </row>
    <row r="181" spans="1:1">
      <c r="A181" s="299" t="s">
        <v>357</v>
      </c>
    </row>
    <row r="182" spans="1:1">
      <c r="A182" s="299" t="s">
        <v>358</v>
      </c>
    </row>
    <row r="183" spans="1:1">
      <c r="A183" s="299" t="s">
        <v>357</v>
      </c>
    </row>
    <row r="184" spans="1:1">
      <c r="A184" s="299" t="s">
        <v>357</v>
      </c>
    </row>
    <row r="185" spans="1:1">
      <c r="A185" s="299" t="s">
        <v>357</v>
      </c>
    </row>
    <row r="186" spans="1:1">
      <c r="A186" s="299" t="s">
        <v>359</v>
      </c>
    </row>
    <row r="187" spans="1:1">
      <c r="A187" s="299" t="s">
        <v>359</v>
      </c>
    </row>
    <row r="188" spans="1:1">
      <c r="A188" s="299" t="s">
        <v>357</v>
      </c>
    </row>
    <row r="189" spans="1:1">
      <c r="A189" s="299" t="s">
        <v>357</v>
      </c>
    </row>
    <row r="190" spans="1:1">
      <c r="A190" s="299" t="s">
        <v>357</v>
      </c>
    </row>
    <row r="191" spans="1:1">
      <c r="A191" s="299" t="s">
        <v>358</v>
      </c>
    </row>
    <row r="192" spans="1:1">
      <c r="A192" s="299" t="s">
        <v>359</v>
      </c>
    </row>
    <row r="193" spans="1:1">
      <c r="A193" s="299" t="s">
        <v>357</v>
      </c>
    </row>
    <row r="194" spans="1:1">
      <c r="A194" s="299" t="s">
        <v>359</v>
      </c>
    </row>
    <row r="195" spans="1:1">
      <c r="A195" s="299" t="s">
        <v>359</v>
      </c>
    </row>
    <row r="196" spans="1:1">
      <c r="A196" s="299" t="s">
        <v>357</v>
      </c>
    </row>
    <row r="197" spans="1:1">
      <c r="A197" s="299" t="s">
        <v>357</v>
      </c>
    </row>
    <row r="198" spans="1:1">
      <c r="A198" s="299" t="s">
        <v>358</v>
      </c>
    </row>
    <row r="199" spans="1:1">
      <c r="A199" s="299" t="s">
        <v>357</v>
      </c>
    </row>
    <row r="200" spans="1:1">
      <c r="A200" s="299" t="s">
        <v>357</v>
      </c>
    </row>
    <row r="201" spans="1:1">
      <c r="A201" s="299" t="s">
        <v>357</v>
      </c>
    </row>
    <row r="202" spans="1:1">
      <c r="A202" s="299" t="s">
        <v>357</v>
      </c>
    </row>
    <row r="203" spans="1:1">
      <c r="A203" s="299" t="s">
        <v>357</v>
      </c>
    </row>
    <row r="204" spans="1:1">
      <c r="A204" s="299" t="s">
        <v>357</v>
      </c>
    </row>
    <row r="205" spans="1:1">
      <c r="A205" s="299" t="s">
        <v>357</v>
      </c>
    </row>
    <row r="206" spans="1:1">
      <c r="A206" s="299" t="s">
        <v>357</v>
      </c>
    </row>
    <row r="207" spans="1:1">
      <c r="A207" s="299" t="s">
        <v>357</v>
      </c>
    </row>
    <row r="208" spans="1:1">
      <c r="A208" s="299" t="s">
        <v>358</v>
      </c>
    </row>
    <row r="209" spans="1:1">
      <c r="A209" s="299" t="s">
        <v>359</v>
      </c>
    </row>
    <row r="210" spans="1:1">
      <c r="A210" s="299" t="s">
        <v>357</v>
      </c>
    </row>
    <row r="211" spans="1:1">
      <c r="A211" s="299" t="s">
        <v>360</v>
      </c>
    </row>
    <row r="212" spans="1:1">
      <c r="A212" s="299" t="s">
        <v>357</v>
      </c>
    </row>
    <row r="213" spans="1:1">
      <c r="A213" s="299" t="s">
        <v>357</v>
      </c>
    </row>
    <row r="214" spans="1:1">
      <c r="A214" s="299" t="s">
        <v>357</v>
      </c>
    </row>
    <row r="215" spans="1:1">
      <c r="A215" s="299" t="s">
        <v>357</v>
      </c>
    </row>
    <row r="216" spans="1:1">
      <c r="A216" s="299" t="s">
        <v>360</v>
      </c>
    </row>
    <row r="217" spans="1:1">
      <c r="A217" s="299" t="s">
        <v>357</v>
      </c>
    </row>
    <row r="218" spans="1:1">
      <c r="A218" s="299" t="s">
        <v>360</v>
      </c>
    </row>
    <row r="219" spans="1:1">
      <c r="A219" s="299" t="s">
        <v>357</v>
      </c>
    </row>
    <row r="220" spans="1:1">
      <c r="A220" s="299" t="s">
        <v>357</v>
      </c>
    </row>
    <row r="221" spans="1:1">
      <c r="A221" s="299" t="s">
        <v>358</v>
      </c>
    </row>
    <row r="222" spans="1:1">
      <c r="A222" s="299" t="s">
        <v>357</v>
      </c>
    </row>
    <row r="223" spans="1:1">
      <c r="A223" s="299" t="s">
        <v>357</v>
      </c>
    </row>
    <row r="224" spans="1:1">
      <c r="A224" s="299" t="s">
        <v>357</v>
      </c>
    </row>
    <row r="225" spans="1:1">
      <c r="A225" s="299" t="s">
        <v>358</v>
      </c>
    </row>
    <row r="226" spans="1:1">
      <c r="A226" s="299" t="s">
        <v>357</v>
      </c>
    </row>
    <row r="227" spans="1:1">
      <c r="A227" s="299" t="s">
        <v>357</v>
      </c>
    </row>
    <row r="228" spans="1:1">
      <c r="A228" s="299" t="s">
        <v>357</v>
      </c>
    </row>
    <row r="229" spans="1:1">
      <c r="A229" s="299" t="s">
        <v>357</v>
      </c>
    </row>
    <row r="230" spans="1:1">
      <c r="A230" s="299" t="s">
        <v>357</v>
      </c>
    </row>
    <row r="231" spans="1:1">
      <c r="A231" s="299" t="s">
        <v>357</v>
      </c>
    </row>
    <row r="232" spans="1:1">
      <c r="A232" s="299" t="s">
        <v>357</v>
      </c>
    </row>
    <row r="233" spans="1:1">
      <c r="A233" s="299" t="s">
        <v>357</v>
      </c>
    </row>
    <row r="234" spans="1:1">
      <c r="A234" s="299" t="s">
        <v>357</v>
      </c>
    </row>
    <row r="235" spans="1:1">
      <c r="A235" s="299" t="s">
        <v>357</v>
      </c>
    </row>
    <row r="236" spans="1:1">
      <c r="A236" s="299" t="s">
        <v>357</v>
      </c>
    </row>
    <row r="237" spans="1:1">
      <c r="A237" s="299" t="s">
        <v>357</v>
      </c>
    </row>
    <row r="238" spans="1:1">
      <c r="A238" s="299" t="s">
        <v>357</v>
      </c>
    </row>
    <row r="239" spans="1:1">
      <c r="A239" s="299" t="s">
        <v>357</v>
      </c>
    </row>
    <row r="240" spans="1:1">
      <c r="A240" s="299" t="s">
        <v>358</v>
      </c>
    </row>
    <row r="241" spans="1:1">
      <c r="A241" s="299" t="s">
        <v>357</v>
      </c>
    </row>
    <row r="242" spans="1:1">
      <c r="A242" s="299" t="s">
        <v>357</v>
      </c>
    </row>
    <row r="243" spans="1:1">
      <c r="A243" s="299" t="s">
        <v>357</v>
      </c>
    </row>
    <row r="244" spans="1:1">
      <c r="A244" s="299" t="s">
        <v>360</v>
      </c>
    </row>
    <row r="245" spans="1:1">
      <c r="A245" s="299" t="s">
        <v>358</v>
      </c>
    </row>
    <row r="246" spans="1:1">
      <c r="A246" s="299" t="s">
        <v>357</v>
      </c>
    </row>
    <row r="247" spans="1:1">
      <c r="A247" s="299" t="s">
        <v>360</v>
      </c>
    </row>
    <row r="248" spans="1:1">
      <c r="A248" s="299" t="s">
        <v>357</v>
      </c>
    </row>
    <row r="249" spans="1:1">
      <c r="A249" s="299" t="s">
        <v>357</v>
      </c>
    </row>
    <row r="250" spans="1:1">
      <c r="A250" s="299" t="s">
        <v>357</v>
      </c>
    </row>
    <row r="251" spans="1:1">
      <c r="A251" s="299" t="s">
        <v>357</v>
      </c>
    </row>
    <row r="252" spans="1:1">
      <c r="A252" s="299" t="s">
        <v>358</v>
      </c>
    </row>
    <row r="253" spans="1:1">
      <c r="A253" s="299" t="s">
        <v>358</v>
      </c>
    </row>
    <row r="254" spans="1:1">
      <c r="A254" s="299" t="s">
        <v>357</v>
      </c>
    </row>
    <row r="255" spans="1:1">
      <c r="A255" s="299" t="s">
        <v>360</v>
      </c>
    </row>
    <row r="256" spans="1:1">
      <c r="A256" s="299" t="s">
        <v>357</v>
      </c>
    </row>
    <row r="257" spans="1:1">
      <c r="A257" s="299" t="s">
        <v>357</v>
      </c>
    </row>
    <row r="258" spans="1:1">
      <c r="A258" s="299" t="s">
        <v>360</v>
      </c>
    </row>
    <row r="259" spans="1:1">
      <c r="A259" s="299" t="s">
        <v>357</v>
      </c>
    </row>
    <row r="260" spans="1:1">
      <c r="A260" s="299" t="s">
        <v>357</v>
      </c>
    </row>
    <row r="261" spans="1:1">
      <c r="A261" s="299" t="s">
        <v>357</v>
      </c>
    </row>
    <row r="262" spans="1:1">
      <c r="A262" s="299" t="s">
        <v>357</v>
      </c>
    </row>
    <row r="263" spans="1:1">
      <c r="A263" s="299" t="s">
        <v>359</v>
      </c>
    </row>
    <row r="264" spans="1:1">
      <c r="A264" s="299" t="s">
        <v>357</v>
      </c>
    </row>
    <row r="265" spans="1:1">
      <c r="A265" s="299" t="s">
        <v>357</v>
      </c>
    </row>
    <row r="266" spans="1:1">
      <c r="A266" s="299" t="s">
        <v>357</v>
      </c>
    </row>
    <row r="267" spans="1:1">
      <c r="A267" s="299" t="s">
        <v>357</v>
      </c>
    </row>
    <row r="268" spans="1:1">
      <c r="A268" s="299" t="s">
        <v>357</v>
      </c>
    </row>
    <row r="269" spans="1:1">
      <c r="A269" s="299" t="s">
        <v>357</v>
      </c>
    </row>
    <row r="270" spans="1:1">
      <c r="A270" s="299" t="s">
        <v>357</v>
      </c>
    </row>
    <row r="271" spans="1:1">
      <c r="A271" s="299" t="s">
        <v>360</v>
      </c>
    </row>
    <row r="272" spans="1:1">
      <c r="A272" s="299" t="s">
        <v>357</v>
      </c>
    </row>
    <row r="273" spans="1:1">
      <c r="A273" s="299" t="s">
        <v>360</v>
      </c>
    </row>
    <row r="274" spans="1:1">
      <c r="A274" s="299" t="s">
        <v>358</v>
      </c>
    </row>
    <row r="275" spans="1:1">
      <c r="A275" s="299" t="s">
        <v>357</v>
      </c>
    </row>
    <row r="276" spans="1:1">
      <c r="A276" s="299" t="s">
        <v>357</v>
      </c>
    </row>
    <row r="277" spans="1:1">
      <c r="A277" s="299" t="s">
        <v>357</v>
      </c>
    </row>
    <row r="278" spans="1:1">
      <c r="A278" s="299" t="s">
        <v>357</v>
      </c>
    </row>
    <row r="279" spans="1:1">
      <c r="A279" s="299" t="s">
        <v>357</v>
      </c>
    </row>
    <row r="280" spans="1:1">
      <c r="A280" s="299" t="s">
        <v>360</v>
      </c>
    </row>
    <row r="281" spans="1:1">
      <c r="A281" s="299" t="s">
        <v>357</v>
      </c>
    </row>
    <row r="282" spans="1:1">
      <c r="A282" s="299" t="s">
        <v>357</v>
      </c>
    </row>
    <row r="283" spans="1:1">
      <c r="A283" s="299" t="s">
        <v>357</v>
      </c>
    </row>
    <row r="284" spans="1:1">
      <c r="A284" s="299" t="s">
        <v>357</v>
      </c>
    </row>
    <row r="285" spans="1:1">
      <c r="A285" s="299" t="s">
        <v>360</v>
      </c>
    </row>
    <row r="286" spans="1:1">
      <c r="A286" s="299" t="s">
        <v>357</v>
      </c>
    </row>
    <row r="287" spans="1:1">
      <c r="A287" s="299" t="s">
        <v>357</v>
      </c>
    </row>
    <row r="288" spans="1:1">
      <c r="A288" s="299" t="s">
        <v>357</v>
      </c>
    </row>
    <row r="289" spans="1:1">
      <c r="A289" s="299" t="s">
        <v>357</v>
      </c>
    </row>
    <row r="290" spans="1:1">
      <c r="A290" s="299" t="s">
        <v>357</v>
      </c>
    </row>
    <row r="291" spans="1:1">
      <c r="A291" s="299" t="s">
        <v>357</v>
      </c>
    </row>
    <row r="292" spans="1:1">
      <c r="A292" s="299" t="s">
        <v>357</v>
      </c>
    </row>
    <row r="293" spans="1:1">
      <c r="A293" s="299" t="s">
        <v>357</v>
      </c>
    </row>
    <row r="294" spans="1:1">
      <c r="A294" s="299" t="s">
        <v>358</v>
      </c>
    </row>
    <row r="295" spans="1:1">
      <c r="A295" s="299" t="s">
        <v>357</v>
      </c>
    </row>
    <row r="296" spans="1:1">
      <c r="A296" s="299" t="s">
        <v>357</v>
      </c>
    </row>
    <row r="297" spans="1:1">
      <c r="A297" s="299" t="s">
        <v>359</v>
      </c>
    </row>
    <row r="298" spans="1:1">
      <c r="A298" s="299" t="s">
        <v>357</v>
      </c>
    </row>
    <row r="299" spans="1:1">
      <c r="A299" s="299" t="s">
        <v>357</v>
      </c>
    </row>
    <row r="300" spans="1:1">
      <c r="A300" s="299" t="s">
        <v>357</v>
      </c>
    </row>
    <row r="301" spans="1:1">
      <c r="A301" s="299" t="s">
        <v>357</v>
      </c>
    </row>
    <row r="302" spans="1:1">
      <c r="A302" s="299" t="s">
        <v>357</v>
      </c>
    </row>
    <row r="303" spans="1:1">
      <c r="A303" s="299" t="s">
        <v>357</v>
      </c>
    </row>
    <row r="304" spans="1:1">
      <c r="A304" s="299" t="s">
        <v>359</v>
      </c>
    </row>
    <row r="305" spans="1:1">
      <c r="A305" s="299" t="s">
        <v>357</v>
      </c>
    </row>
    <row r="306" spans="1:1">
      <c r="A306" s="299" t="s">
        <v>357</v>
      </c>
    </row>
    <row r="307" spans="1:1">
      <c r="A307" s="299" t="s">
        <v>358</v>
      </c>
    </row>
    <row r="308" spans="1:1">
      <c r="A308" s="299" t="s">
        <v>357</v>
      </c>
    </row>
    <row r="309" spans="1:1">
      <c r="A309" s="299" t="s">
        <v>357</v>
      </c>
    </row>
    <row r="310" spans="1:1">
      <c r="A310" s="299" t="s">
        <v>359</v>
      </c>
    </row>
    <row r="311" spans="1:1">
      <c r="A311" s="299" t="s">
        <v>357</v>
      </c>
    </row>
    <row r="312" spans="1:1">
      <c r="A312" s="299" t="s">
        <v>357</v>
      </c>
    </row>
    <row r="313" spans="1:1">
      <c r="A313" s="299" t="s">
        <v>359</v>
      </c>
    </row>
    <row r="314" spans="1:1">
      <c r="A314" s="299" t="s">
        <v>357</v>
      </c>
    </row>
    <row r="315" spans="1:1">
      <c r="A315" s="299" t="s">
        <v>357</v>
      </c>
    </row>
    <row r="316" spans="1:1">
      <c r="A316" s="299" t="s">
        <v>357</v>
      </c>
    </row>
    <row r="317" spans="1:1">
      <c r="A317" s="299" t="s">
        <v>357</v>
      </c>
    </row>
    <row r="318" spans="1:1">
      <c r="A318" s="299" t="s">
        <v>357</v>
      </c>
    </row>
    <row r="319" spans="1:1">
      <c r="A319" s="299" t="s">
        <v>358</v>
      </c>
    </row>
    <row r="320" spans="1:1">
      <c r="A320" s="299" t="s">
        <v>357</v>
      </c>
    </row>
    <row r="321" spans="1:1">
      <c r="A321" s="299" t="s">
        <v>357</v>
      </c>
    </row>
    <row r="322" spans="1:1">
      <c r="A322" s="299" t="s">
        <v>357</v>
      </c>
    </row>
    <row r="323" spans="1:1">
      <c r="A323" s="299" t="s">
        <v>357</v>
      </c>
    </row>
    <row r="324" spans="1:1">
      <c r="A324" s="299" t="s">
        <v>357</v>
      </c>
    </row>
    <row r="325" spans="1:1">
      <c r="A325" s="299" t="s">
        <v>357</v>
      </c>
    </row>
    <row r="326" spans="1:1">
      <c r="A326" s="299" t="s">
        <v>357</v>
      </c>
    </row>
    <row r="327" spans="1:1">
      <c r="A327" s="299" t="s">
        <v>358</v>
      </c>
    </row>
    <row r="328" spans="1:1">
      <c r="A328" s="299" t="s">
        <v>360</v>
      </c>
    </row>
    <row r="329" spans="1:1">
      <c r="A329" s="299" t="s">
        <v>357</v>
      </c>
    </row>
    <row r="330" spans="1:1">
      <c r="A330" s="299" t="s">
        <v>357</v>
      </c>
    </row>
    <row r="331" spans="1:1">
      <c r="A331" s="299" t="s">
        <v>357</v>
      </c>
    </row>
    <row r="332" spans="1:1">
      <c r="A332" s="299" t="s">
        <v>357</v>
      </c>
    </row>
    <row r="333" spans="1:1">
      <c r="A333" s="299" t="s">
        <v>357</v>
      </c>
    </row>
    <row r="334" spans="1:1">
      <c r="A334" s="299" t="s">
        <v>357</v>
      </c>
    </row>
    <row r="335" spans="1:1">
      <c r="A335" s="299" t="s">
        <v>360</v>
      </c>
    </row>
    <row r="336" spans="1:1">
      <c r="A336" s="299" t="s">
        <v>357</v>
      </c>
    </row>
    <row r="337" spans="1:1">
      <c r="A337" s="299" t="s">
        <v>357</v>
      </c>
    </row>
    <row r="338" spans="1:1">
      <c r="A338" s="299" t="s">
        <v>357</v>
      </c>
    </row>
    <row r="339" spans="1:1">
      <c r="A339" s="299" t="s">
        <v>360</v>
      </c>
    </row>
    <row r="340" spans="1:1">
      <c r="A340" s="299" t="s">
        <v>357</v>
      </c>
    </row>
    <row r="341" spans="1:1">
      <c r="A341" s="299" t="s">
        <v>357</v>
      </c>
    </row>
    <row r="342" spans="1:1">
      <c r="A342" s="299" t="s">
        <v>357</v>
      </c>
    </row>
    <row r="343" spans="1:1">
      <c r="A343" s="299" t="s">
        <v>359</v>
      </c>
    </row>
    <row r="344" spans="1:1">
      <c r="A344" s="299" t="s">
        <v>357</v>
      </c>
    </row>
    <row r="345" spans="1:1">
      <c r="A345" s="299" t="s">
        <v>357</v>
      </c>
    </row>
    <row r="346" spans="1:1">
      <c r="A346" s="299" t="s">
        <v>357</v>
      </c>
    </row>
    <row r="347" spans="1:1">
      <c r="A347" s="299" t="s">
        <v>357</v>
      </c>
    </row>
    <row r="348" spans="1:1">
      <c r="A348" s="299" t="s">
        <v>357</v>
      </c>
    </row>
    <row r="349" spans="1:1">
      <c r="A349" s="299" t="s">
        <v>358</v>
      </c>
    </row>
    <row r="350" spans="1:1">
      <c r="A350" s="299" t="s">
        <v>357</v>
      </c>
    </row>
    <row r="351" spans="1:1">
      <c r="A351" s="299" t="s">
        <v>360</v>
      </c>
    </row>
    <row r="352" spans="1:1">
      <c r="A352" s="299" t="s">
        <v>360</v>
      </c>
    </row>
    <row r="353" spans="1:1">
      <c r="A353" s="299" t="s">
        <v>357</v>
      </c>
    </row>
    <row r="354" spans="1:1">
      <c r="A354" s="299" t="s">
        <v>358</v>
      </c>
    </row>
    <row r="355" spans="1:1">
      <c r="A355" s="299" t="s">
        <v>357</v>
      </c>
    </row>
    <row r="356" spans="1:1">
      <c r="A356" s="299" t="s">
        <v>360</v>
      </c>
    </row>
    <row r="357" spans="1:1">
      <c r="A357" s="299" t="s">
        <v>357</v>
      </c>
    </row>
    <row r="358" spans="1:1">
      <c r="A358" s="299" t="s">
        <v>357</v>
      </c>
    </row>
    <row r="359" spans="1:1">
      <c r="A359" s="299" t="s">
        <v>357</v>
      </c>
    </row>
    <row r="360" spans="1:1">
      <c r="A360" s="299" t="s">
        <v>357</v>
      </c>
    </row>
    <row r="361" spans="1:1">
      <c r="A361" s="299" t="s">
        <v>357</v>
      </c>
    </row>
    <row r="362" spans="1:1">
      <c r="A362" s="299" t="s">
        <v>357</v>
      </c>
    </row>
    <row r="363" spans="1:1">
      <c r="A363" s="299" t="s">
        <v>359</v>
      </c>
    </row>
    <row r="364" spans="1:1">
      <c r="A364" s="299" t="s">
        <v>357</v>
      </c>
    </row>
    <row r="365" spans="1:1">
      <c r="A365" s="299" t="s">
        <v>357</v>
      </c>
    </row>
    <row r="366" spans="1:1">
      <c r="A366" s="299" t="s">
        <v>360</v>
      </c>
    </row>
    <row r="367" spans="1:1">
      <c r="A367" s="299" t="s">
        <v>358</v>
      </c>
    </row>
    <row r="368" spans="1:1">
      <c r="A368" s="299" t="s">
        <v>357</v>
      </c>
    </row>
    <row r="369" spans="1:1">
      <c r="A369" s="299" t="s">
        <v>357</v>
      </c>
    </row>
    <row r="370" spans="1:1">
      <c r="A370" s="299" t="s">
        <v>357</v>
      </c>
    </row>
    <row r="371" spans="1:1">
      <c r="A371" s="299" t="s">
        <v>357</v>
      </c>
    </row>
    <row r="372" spans="1:1">
      <c r="A372" s="299" t="s">
        <v>357</v>
      </c>
    </row>
    <row r="373" spans="1:1">
      <c r="A373" s="299" t="s">
        <v>357</v>
      </c>
    </row>
    <row r="374" spans="1:1">
      <c r="A374" s="299" t="s">
        <v>357</v>
      </c>
    </row>
    <row r="375" spans="1:1">
      <c r="A375" s="299" t="s">
        <v>357</v>
      </c>
    </row>
    <row r="376" spans="1:1">
      <c r="A376" s="299" t="s">
        <v>360</v>
      </c>
    </row>
    <row r="377" spans="1:1">
      <c r="A377" s="299" t="s">
        <v>357</v>
      </c>
    </row>
    <row r="378" spans="1:1">
      <c r="A378" s="299" t="s">
        <v>357</v>
      </c>
    </row>
    <row r="379" spans="1:1">
      <c r="A379" s="299" t="s">
        <v>357</v>
      </c>
    </row>
    <row r="380" spans="1:1">
      <c r="A380" s="299" t="s">
        <v>357</v>
      </c>
    </row>
    <row r="381" spans="1:1">
      <c r="A381" s="299" t="s">
        <v>357</v>
      </c>
    </row>
    <row r="382" spans="1:1">
      <c r="A382" s="299" t="s">
        <v>357</v>
      </c>
    </row>
    <row r="383" spans="1:1">
      <c r="A383" s="299" t="s">
        <v>357</v>
      </c>
    </row>
    <row r="384" spans="1:1">
      <c r="A384" s="299" t="s">
        <v>357</v>
      </c>
    </row>
    <row r="385" spans="1:1">
      <c r="A385" s="299" t="s">
        <v>357</v>
      </c>
    </row>
    <row r="386" spans="1:1">
      <c r="A386" s="299" t="s">
        <v>357</v>
      </c>
    </row>
    <row r="387" spans="1:1">
      <c r="A387" s="299" t="s">
        <v>357</v>
      </c>
    </row>
    <row r="388" spans="1:1">
      <c r="A388" s="299" t="s">
        <v>359</v>
      </c>
    </row>
    <row r="389" spans="1:1">
      <c r="A389" s="299" t="s">
        <v>357</v>
      </c>
    </row>
    <row r="390" spans="1:1">
      <c r="A390" s="299" t="s">
        <v>357</v>
      </c>
    </row>
    <row r="391" spans="1:1">
      <c r="A391" s="299" t="s">
        <v>360</v>
      </c>
    </row>
    <row r="392" spans="1:1">
      <c r="A392" s="299" t="s">
        <v>359</v>
      </c>
    </row>
    <row r="393" spans="1:1">
      <c r="A393" s="299" t="s">
        <v>357</v>
      </c>
    </row>
    <row r="394" spans="1:1">
      <c r="A394" s="299" t="s">
        <v>357</v>
      </c>
    </row>
    <row r="395" spans="1:1">
      <c r="A395" s="299" t="s">
        <v>357</v>
      </c>
    </row>
    <row r="396" spans="1:1">
      <c r="A396" s="299" t="s">
        <v>357</v>
      </c>
    </row>
    <row r="397" spans="1:1">
      <c r="A397" s="299" t="s">
        <v>357</v>
      </c>
    </row>
    <row r="398" spans="1:1">
      <c r="A398" s="299" t="s">
        <v>357</v>
      </c>
    </row>
    <row r="399" spans="1:1">
      <c r="A399" s="299" t="s">
        <v>357</v>
      </c>
    </row>
    <row r="400" spans="1:1">
      <c r="A400" s="299" t="s">
        <v>357</v>
      </c>
    </row>
    <row r="401" spans="1:1">
      <c r="A401" s="299" t="s">
        <v>357</v>
      </c>
    </row>
    <row r="402" spans="1:1">
      <c r="A402" s="299" t="s">
        <v>358</v>
      </c>
    </row>
    <row r="403" spans="1:1">
      <c r="A403" s="299" t="s">
        <v>357</v>
      </c>
    </row>
    <row r="404" spans="1:1">
      <c r="A404" s="299" t="s">
        <v>357</v>
      </c>
    </row>
    <row r="405" spans="1:1">
      <c r="A405" s="299" t="s">
        <v>357</v>
      </c>
    </row>
    <row r="406" spans="1:1">
      <c r="A406" s="299" t="s">
        <v>357</v>
      </c>
    </row>
    <row r="407" spans="1:1">
      <c r="A407" s="299" t="s">
        <v>358</v>
      </c>
    </row>
    <row r="408" spans="1:1">
      <c r="A408" s="299" t="s">
        <v>357</v>
      </c>
    </row>
    <row r="409" spans="1:1">
      <c r="A409" s="299" t="s">
        <v>360</v>
      </c>
    </row>
    <row r="410" spans="1:1">
      <c r="A410" s="299" t="s">
        <v>357</v>
      </c>
    </row>
    <row r="411" spans="1:1">
      <c r="A411" s="299" t="s">
        <v>357</v>
      </c>
    </row>
    <row r="412" spans="1:1">
      <c r="A412" s="299" t="s">
        <v>357</v>
      </c>
    </row>
    <row r="413" spans="1:1">
      <c r="A413" s="299" t="s">
        <v>357</v>
      </c>
    </row>
    <row r="414" spans="1:1">
      <c r="A414" s="299" t="s">
        <v>357</v>
      </c>
    </row>
    <row r="415" spans="1:1">
      <c r="A415" s="299" t="s">
        <v>357</v>
      </c>
    </row>
    <row r="416" spans="1:1">
      <c r="A416" s="299" t="s">
        <v>360</v>
      </c>
    </row>
    <row r="417" spans="1:1">
      <c r="A417" s="299" t="s">
        <v>357</v>
      </c>
    </row>
    <row r="418" spans="1:1">
      <c r="A418" s="299" t="s">
        <v>357</v>
      </c>
    </row>
    <row r="419" spans="1:1">
      <c r="A419" s="299" t="s">
        <v>357</v>
      </c>
    </row>
    <row r="420" spans="1:1">
      <c r="A420" s="299" t="s">
        <v>357</v>
      </c>
    </row>
    <row r="421" spans="1:1">
      <c r="A421" s="299" t="s">
        <v>357</v>
      </c>
    </row>
    <row r="422" spans="1:1">
      <c r="A422" s="299" t="s">
        <v>357</v>
      </c>
    </row>
    <row r="423" spans="1:1">
      <c r="A423" s="299" t="s">
        <v>357</v>
      </c>
    </row>
    <row r="424" spans="1:1">
      <c r="A424" s="299" t="s">
        <v>357</v>
      </c>
    </row>
    <row r="425" spans="1:1">
      <c r="A425" s="299" t="s">
        <v>360</v>
      </c>
    </row>
    <row r="426" spans="1:1">
      <c r="A426" s="299" t="s">
        <v>360</v>
      </c>
    </row>
    <row r="427" spans="1:1">
      <c r="A427" s="299" t="s">
        <v>357</v>
      </c>
    </row>
    <row r="428" spans="1:1">
      <c r="A428" s="299" t="s">
        <v>357</v>
      </c>
    </row>
    <row r="429" spans="1:1">
      <c r="A429" s="299" t="s">
        <v>357</v>
      </c>
    </row>
    <row r="430" spans="1:1">
      <c r="A430" s="299" t="s">
        <v>357</v>
      </c>
    </row>
    <row r="431" spans="1:1">
      <c r="A431" s="299" t="s">
        <v>357</v>
      </c>
    </row>
    <row r="432" spans="1:1">
      <c r="A432" s="299" t="s">
        <v>360</v>
      </c>
    </row>
    <row r="433" spans="1:1">
      <c r="A433" s="299" t="s">
        <v>359</v>
      </c>
    </row>
    <row r="434" spans="1:1">
      <c r="A434" s="299" t="s">
        <v>357</v>
      </c>
    </row>
    <row r="435" spans="1:1">
      <c r="A435" s="299" t="s">
        <v>357</v>
      </c>
    </row>
    <row r="436" spans="1:1">
      <c r="A436" s="299" t="s">
        <v>357</v>
      </c>
    </row>
    <row r="437" spans="1:1">
      <c r="A437" s="299" t="s">
        <v>357</v>
      </c>
    </row>
    <row r="438" spans="1:1">
      <c r="A438" s="299" t="s">
        <v>357</v>
      </c>
    </row>
    <row r="439" spans="1:1">
      <c r="A439" s="299" t="s">
        <v>357</v>
      </c>
    </row>
    <row r="440" spans="1:1">
      <c r="A440" s="299" t="s">
        <v>357</v>
      </c>
    </row>
    <row r="441" spans="1:1">
      <c r="A441" s="299" t="s">
        <v>358</v>
      </c>
    </row>
    <row r="442" spans="1:1">
      <c r="A442" s="299" t="s">
        <v>357</v>
      </c>
    </row>
    <row r="443" spans="1:1">
      <c r="A443" s="299" t="s">
        <v>360</v>
      </c>
    </row>
    <row r="444" spans="1:1">
      <c r="A444" s="299" t="s">
        <v>357</v>
      </c>
    </row>
    <row r="445" spans="1:1">
      <c r="A445" s="299" t="s">
        <v>360</v>
      </c>
    </row>
    <row r="446" spans="1:1">
      <c r="A446" s="299" t="s">
        <v>357</v>
      </c>
    </row>
    <row r="447" spans="1:1">
      <c r="A447" s="299" t="s">
        <v>357</v>
      </c>
    </row>
    <row r="448" spans="1:1">
      <c r="A448" s="299" t="s">
        <v>357</v>
      </c>
    </row>
    <row r="449" spans="1:1">
      <c r="A449" s="299" t="s">
        <v>357</v>
      </c>
    </row>
    <row r="450" spans="1:1">
      <c r="A450" s="299" t="s">
        <v>357</v>
      </c>
    </row>
    <row r="451" spans="1:1">
      <c r="A451" s="299" t="s">
        <v>359</v>
      </c>
    </row>
    <row r="452" spans="1:1">
      <c r="A452" s="299" t="s">
        <v>358</v>
      </c>
    </row>
    <row r="453" spans="1:1">
      <c r="A453" s="299" t="s">
        <v>359</v>
      </c>
    </row>
    <row r="454" spans="1:1">
      <c r="A454" s="299" t="s">
        <v>357</v>
      </c>
    </row>
    <row r="455" spans="1:1">
      <c r="A455" s="299" t="s">
        <v>358</v>
      </c>
    </row>
    <row r="456" spans="1:1">
      <c r="A456" s="299" t="s">
        <v>357</v>
      </c>
    </row>
    <row r="457" spans="1:1">
      <c r="A457" s="299" t="s">
        <v>357</v>
      </c>
    </row>
    <row r="458" spans="1:1">
      <c r="A458" s="299" t="s">
        <v>357</v>
      </c>
    </row>
    <row r="459" spans="1:1">
      <c r="A459" s="299" t="s">
        <v>360</v>
      </c>
    </row>
    <row r="460" spans="1:1">
      <c r="A460" s="299" t="s">
        <v>357</v>
      </c>
    </row>
    <row r="461" spans="1:1">
      <c r="A461" s="299" t="s">
        <v>357</v>
      </c>
    </row>
    <row r="462" spans="1:1">
      <c r="A462" s="299" t="s">
        <v>357</v>
      </c>
    </row>
    <row r="463" spans="1:1">
      <c r="A463" s="299" t="s">
        <v>357</v>
      </c>
    </row>
    <row r="464" spans="1:1">
      <c r="A464" s="299" t="s">
        <v>360</v>
      </c>
    </row>
    <row r="465" spans="1:1">
      <c r="A465" s="299" t="s">
        <v>357</v>
      </c>
    </row>
    <row r="466" spans="1:1">
      <c r="A466" s="299" t="s">
        <v>358</v>
      </c>
    </row>
    <row r="467" spans="1:1">
      <c r="A467" s="299" t="s">
        <v>360</v>
      </c>
    </row>
    <row r="468" spans="1:1">
      <c r="A468" s="299" t="s">
        <v>357</v>
      </c>
    </row>
    <row r="469" spans="1:1">
      <c r="A469" s="299" t="s">
        <v>357</v>
      </c>
    </row>
    <row r="470" spans="1:1">
      <c r="A470" s="299" t="s">
        <v>357</v>
      </c>
    </row>
    <row r="471" spans="1:1">
      <c r="A471" s="299" t="s">
        <v>357</v>
      </c>
    </row>
    <row r="472" spans="1:1">
      <c r="A472" s="299" t="s">
        <v>358</v>
      </c>
    </row>
    <row r="473" spans="1:1">
      <c r="A473" s="299" t="s">
        <v>357</v>
      </c>
    </row>
    <row r="474" spans="1:1">
      <c r="A474" s="299" t="s">
        <v>357</v>
      </c>
    </row>
    <row r="475" spans="1:1">
      <c r="A475" s="299" t="s">
        <v>357</v>
      </c>
    </row>
    <row r="476" spans="1:1">
      <c r="A476" s="299" t="s">
        <v>357</v>
      </c>
    </row>
    <row r="477" spans="1:1">
      <c r="A477" s="299" t="s">
        <v>357</v>
      </c>
    </row>
    <row r="478" spans="1:1">
      <c r="A478" s="299" t="s">
        <v>357</v>
      </c>
    </row>
    <row r="479" spans="1:1">
      <c r="A479" s="299" t="s">
        <v>357</v>
      </c>
    </row>
    <row r="480" spans="1:1">
      <c r="A480" s="299" t="s">
        <v>357</v>
      </c>
    </row>
    <row r="481" spans="1:17">
      <c r="A481" s="299" t="s">
        <v>357</v>
      </c>
    </row>
    <row r="482" spans="1:17">
      <c r="A482" s="299" t="s">
        <v>357</v>
      </c>
    </row>
    <row r="483" spans="1:17">
      <c r="A483" s="299" t="s">
        <v>357</v>
      </c>
    </row>
    <row r="484" spans="1:17">
      <c r="A484" s="299" t="s">
        <v>357</v>
      </c>
    </row>
    <row r="485" spans="1:17">
      <c r="A485" s="299" t="s">
        <v>357</v>
      </c>
    </row>
    <row r="486" spans="1:17">
      <c r="A486" s="299" t="s">
        <v>357</v>
      </c>
    </row>
    <row r="487" spans="1:17">
      <c r="A487" s="299" t="s">
        <v>358</v>
      </c>
    </row>
    <row r="488" spans="1:17">
      <c r="A488" s="299" t="s">
        <v>357</v>
      </c>
    </row>
    <row r="489" spans="1:17">
      <c r="A489" s="299" t="s">
        <v>357</v>
      </c>
    </row>
    <row r="490" spans="1:17">
      <c r="A490" s="299" t="s">
        <v>357</v>
      </c>
    </row>
    <row r="491" spans="1:17">
      <c r="A491" s="299" t="s">
        <v>357</v>
      </c>
    </row>
    <row r="492" spans="1:17">
      <c r="A492" s="299" t="s">
        <v>357</v>
      </c>
    </row>
    <row r="493" spans="1:17">
      <c r="A493" s="299" t="s">
        <v>357</v>
      </c>
    </row>
    <row r="494" spans="1:17">
      <c r="A494" s="299" t="s">
        <v>361</v>
      </c>
    </row>
    <row r="495" spans="1:17" ht="13.5">
      <c r="A495" s="312" t="s">
        <v>361</v>
      </c>
      <c r="B495" s="312"/>
      <c r="C495" s="312"/>
      <c r="D495" s="312"/>
      <c r="E495" s="312"/>
      <c r="F495" s="312"/>
      <c r="Q495" s="312"/>
    </row>
    <row r="496" spans="1:17" ht="13.5">
      <c r="A496" s="312" t="s">
        <v>361</v>
      </c>
      <c r="B496" s="312"/>
      <c r="C496" s="312"/>
      <c r="D496" s="312"/>
      <c r="E496" s="312"/>
      <c r="F496" s="312"/>
      <c r="Q496" s="312"/>
    </row>
    <row r="497" spans="1:17" ht="13.5">
      <c r="A497" s="312" t="s">
        <v>361</v>
      </c>
      <c r="B497" s="312"/>
      <c r="C497" s="312"/>
      <c r="D497" s="312"/>
      <c r="E497" s="312"/>
      <c r="F497" s="312"/>
      <c r="Q497" s="312"/>
    </row>
    <row r="498" spans="1:17" ht="13.5">
      <c r="A498" s="312" t="s">
        <v>361</v>
      </c>
      <c r="B498" s="312"/>
      <c r="C498" s="312"/>
      <c r="D498" s="312"/>
      <c r="E498" s="312"/>
      <c r="F498" s="312"/>
      <c r="Q498" s="312"/>
    </row>
    <row r="499" spans="1:17" ht="13.5">
      <c r="A499" s="312" t="s">
        <v>361</v>
      </c>
      <c r="B499" s="312"/>
      <c r="C499" s="312"/>
      <c r="D499" s="312"/>
      <c r="E499" s="312"/>
      <c r="F499" s="312"/>
      <c r="Q499" s="312"/>
    </row>
    <row r="500" spans="1:17" ht="13.5">
      <c r="A500" s="312" t="s">
        <v>361</v>
      </c>
      <c r="B500" s="312"/>
      <c r="C500" s="312"/>
      <c r="D500" s="312"/>
      <c r="E500" s="312"/>
      <c r="F500" s="312"/>
      <c r="Q500" s="312"/>
    </row>
    <row r="501" spans="1:17" ht="13.5">
      <c r="A501" s="312" t="s">
        <v>361</v>
      </c>
      <c r="B501" s="312"/>
      <c r="C501" s="312"/>
      <c r="D501" s="312"/>
      <c r="E501" s="312"/>
      <c r="F501" s="312"/>
      <c r="Q501" s="312"/>
    </row>
    <row r="502" spans="1:17" ht="13.5">
      <c r="A502" s="312" t="s">
        <v>361</v>
      </c>
      <c r="B502" s="312"/>
      <c r="C502" s="312"/>
      <c r="D502" s="312"/>
      <c r="E502" s="312"/>
      <c r="F502" s="312"/>
      <c r="Q502" s="312"/>
    </row>
    <row r="503" spans="1:17" ht="13.5">
      <c r="A503" s="312" t="s">
        <v>361</v>
      </c>
      <c r="B503" s="312"/>
      <c r="C503" s="312"/>
      <c r="D503" s="312"/>
      <c r="E503" s="312"/>
      <c r="F503" s="312"/>
      <c r="Q503" s="312"/>
    </row>
    <row r="504" spans="1:17" ht="13.5">
      <c r="A504" s="312" t="s">
        <v>361</v>
      </c>
      <c r="B504" s="312"/>
      <c r="C504" s="312"/>
      <c r="D504" s="312"/>
      <c r="E504" s="312"/>
      <c r="F504" s="312"/>
      <c r="Q504" s="312"/>
    </row>
    <row r="505" spans="1:17" ht="13.5">
      <c r="A505" s="312" t="s">
        <v>361</v>
      </c>
      <c r="B505" s="312"/>
      <c r="C505" s="312"/>
      <c r="D505" s="312"/>
      <c r="E505" s="312"/>
      <c r="F505" s="312"/>
      <c r="Q505" s="312"/>
    </row>
    <row r="506" spans="1:17" ht="13.5">
      <c r="A506" s="312" t="s">
        <v>361</v>
      </c>
      <c r="B506" s="312"/>
      <c r="C506" s="312"/>
      <c r="D506" s="312"/>
      <c r="E506" s="312"/>
      <c r="F506" s="312"/>
      <c r="Q506" s="312"/>
    </row>
    <row r="507" spans="1:17" ht="13.5">
      <c r="A507" s="312" t="s">
        <v>361</v>
      </c>
      <c r="B507" s="312"/>
      <c r="C507" s="312"/>
      <c r="D507" s="312"/>
      <c r="E507" s="312"/>
      <c r="F507" s="312"/>
      <c r="Q507" s="312"/>
    </row>
    <row r="508" spans="1:17" ht="13.5">
      <c r="A508" s="312" t="s">
        <v>361</v>
      </c>
      <c r="B508" s="312"/>
      <c r="C508" s="312"/>
      <c r="D508" s="312"/>
      <c r="E508" s="312"/>
      <c r="F508" s="312"/>
      <c r="Q508" s="312"/>
    </row>
    <row r="509" spans="1:17" ht="13.5">
      <c r="A509" s="312" t="s">
        <v>361</v>
      </c>
      <c r="B509" s="312"/>
      <c r="C509" s="312"/>
      <c r="D509" s="312"/>
      <c r="E509" s="312"/>
      <c r="F509" s="312"/>
      <c r="Q509" s="312"/>
    </row>
    <row r="510" spans="1:17" ht="13.5">
      <c r="A510" s="312" t="s">
        <v>361</v>
      </c>
      <c r="B510" s="312"/>
      <c r="C510" s="312"/>
      <c r="D510" s="312"/>
      <c r="E510" s="312"/>
      <c r="F510" s="312"/>
      <c r="Q510" s="312"/>
    </row>
    <row r="511" spans="1:17" ht="13.5">
      <c r="A511" s="312" t="s">
        <v>361</v>
      </c>
      <c r="B511" s="312"/>
      <c r="C511" s="312"/>
      <c r="D511" s="312"/>
      <c r="E511" s="312"/>
      <c r="F511" s="312"/>
      <c r="Q511" s="312"/>
    </row>
    <row r="512" spans="1:17" ht="13.5">
      <c r="A512" s="312" t="s">
        <v>361</v>
      </c>
      <c r="B512" s="312"/>
      <c r="C512" s="312"/>
      <c r="D512" s="312"/>
      <c r="E512" s="312"/>
      <c r="F512" s="312"/>
      <c r="Q512" s="312"/>
    </row>
    <row r="513" spans="1:17" ht="13.5">
      <c r="A513" s="312" t="s">
        <v>361</v>
      </c>
      <c r="B513" s="312"/>
      <c r="C513" s="312"/>
      <c r="D513" s="312"/>
      <c r="E513" s="312"/>
      <c r="F513" s="312"/>
      <c r="Q513" s="312"/>
    </row>
    <row r="514" spans="1:17" ht="13.5">
      <c r="A514" s="312" t="s">
        <v>361</v>
      </c>
      <c r="B514" s="312"/>
      <c r="C514" s="312"/>
      <c r="D514" s="312"/>
      <c r="E514" s="312"/>
      <c r="F514" s="312"/>
      <c r="Q514" s="312"/>
    </row>
    <row r="515" spans="1:17" ht="13.5">
      <c r="A515" s="312" t="s">
        <v>361</v>
      </c>
      <c r="B515" s="312"/>
      <c r="C515" s="312"/>
      <c r="D515" s="312"/>
      <c r="E515" s="312"/>
      <c r="F515" s="312"/>
      <c r="Q515" s="312"/>
    </row>
    <row r="516" spans="1:17" ht="13.5">
      <c r="A516" s="312" t="s">
        <v>361</v>
      </c>
      <c r="B516" s="312"/>
      <c r="C516" s="312"/>
      <c r="D516" s="312"/>
      <c r="E516" s="312"/>
      <c r="F516" s="312"/>
      <c r="Q516" s="312"/>
    </row>
    <row r="517" spans="1:17" ht="13.5">
      <c r="A517" s="312" t="s">
        <v>361</v>
      </c>
      <c r="B517" s="312"/>
      <c r="C517" s="312"/>
      <c r="D517" s="312"/>
      <c r="E517" s="312"/>
      <c r="F517" s="312"/>
      <c r="Q517" s="312"/>
    </row>
    <row r="518" spans="1:17" ht="13.5">
      <c r="A518" s="312" t="s">
        <v>361</v>
      </c>
      <c r="B518" s="312"/>
      <c r="C518" s="312"/>
      <c r="D518" s="312"/>
      <c r="E518" s="312"/>
      <c r="F518" s="312"/>
      <c r="Q518" s="312"/>
    </row>
    <row r="519" spans="1:17" ht="13.5">
      <c r="A519" s="312" t="s">
        <v>361</v>
      </c>
      <c r="B519" s="312"/>
      <c r="C519" s="312"/>
      <c r="D519" s="312"/>
      <c r="E519" s="312"/>
      <c r="F519" s="312"/>
      <c r="Q519" s="312"/>
    </row>
    <row r="520" spans="1:17" ht="13.5">
      <c r="A520" s="312" t="s">
        <v>361</v>
      </c>
      <c r="B520" s="312"/>
      <c r="C520" s="312"/>
      <c r="D520" s="312"/>
      <c r="E520" s="312"/>
      <c r="F520" s="312"/>
      <c r="Q520" s="312"/>
    </row>
    <row r="521" spans="1:17" ht="13.5">
      <c r="A521" s="312" t="s">
        <v>361</v>
      </c>
      <c r="B521" s="312"/>
      <c r="C521" s="312"/>
      <c r="D521" s="312"/>
      <c r="E521" s="312"/>
      <c r="F521" s="312"/>
      <c r="Q521" s="312"/>
    </row>
    <row r="522" spans="1:17" ht="13.5">
      <c r="A522" s="312" t="s">
        <v>361</v>
      </c>
      <c r="B522" s="312"/>
      <c r="C522" s="312"/>
      <c r="D522" s="312"/>
      <c r="E522" s="312"/>
      <c r="F522" s="312"/>
      <c r="Q522" s="312"/>
    </row>
    <row r="523" spans="1:17" ht="13.5">
      <c r="A523" s="312" t="s">
        <v>361</v>
      </c>
      <c r="B523" s="312"/>
      <c r="C523" s="312"/>
      <c r="D523" s="312"/>
      <c r="E523" s="312"/>
      <c r="F523" s="312"/>
      <c r="Q523" s="312"/>
    </row>
    <row r="524" spans="1:17" ht="13.5">
      <c r="A524" s="312" t="s">
        <v>361</v>
      </c>
      <c r="B524" s="312"/>
      <c r="C524" s="312"/>
      <c r="D524" s="312"/>
      <c r="E524" s="312"/>
      <c r="F524" s="312"/>
      <c r="Q524" s="312"/>
    </row>
    <row r="525" spans="1:17" ht="13.5">
      <c r="A525" s="312" t="s">
        <v>361</v>
      </c>
      <c r="B525" s="312"/>
      <c r="C525" s="312"/>
      <c r="D525" s="312"/>
      <c r="E525" s="312"/>
      <c r="F525" s="312"/>
      <c r="Q525" s="312"/>
    </row>
    <row r="526" spans="1:17" ht="13.5">
      <c r="A526" s="312" t="s">
        <v>361</v>
      </c>
      <c r="B526" s="312"/>
      <c r="C526" s="312"/>
      <c r="D526" s="312"/>
      <c r="E526" s="312"/>
      <c r="F526" s="312"/>
      <c r="Q526" s="312"/>
    </row>
    <row r="527" spans="1:17" ht="13.5">
      <c r="A527" s="312" t="s">
        <v>361</v>
      </c>
      <c r="B527" s="312"/>
      <c r="C527" s="312"/>
      <c r="D527" s="312"/>
      <c r="E527" s="312"/>
      <c r="F527" s="312"/>
      <c r="Q527" s="312"/>
    </row>
    <row r="528" spans="1:17" ht="13.5">
      <c r="A528" s="312" t="s">
        <v>361</v>
      </c>
      <c r="B528" s="312"/>
      <c r="C528" s="312"/>
      <c r="D528" s="312"/>
      <c r="E528" s="312"/>
      <c r="F528" s="312"/>
      <c r="Q528" s="312"/>
    </row>
    <row r="529" spans="1:17" ht="13.5">
      <c r="A529" s="312" t="s">
        <v>361</v>
      </c>
      <c r="B529" s="312"/>
      <c r="C529" s="312"/>
      <c r="D529" s="312"/>
      <c r="E529" s="312"/>
      <c r="F529" s="312"/>
      <c r="Q529" s="312"/>
    </row>
    <row r="530" spans="1:17" ht="13.5">
      <c r="A530" s="312" t="s">
        <v>361</v>
      </c>
      <c r="B530" s="312"/>
      <c r="C530" s="312"/>
      <c r="D530" s="312"/>
      <c r="E530" s="312"/>
      <c r="F530" s="312"/>
      <c r="Q530" s="312"/>
    </row>
    <row r="531" spans="1:17" ht="13.5">
      <c r="A531" s="312" t="s">
        <v>361</v>
      </c>
      <c r="B531" s="312"/>
      <c r="C531" s="312"/>
      <c r="D531" s="312"/>
      <c r="E531" s="312"/>
      <c r="F531" s="312"/>
      <c r="Q531" s="312"/>
    </row>
    <row r="532" spans="1:17" ht="13.5">
      <c r="A532" s="312" t="s">
        <v>361</v>
      </c>
      <c r="B532" s="312"/>
      <c r="C532" s="312"/>
      <c r="D532" s="312"/>
      <c r="E532" s="312"/>
      <c r="F532" s="312"/>
      <c r="Q532" s="312"/>
    </row>
    <row r="533" spans="1:17" ht="13.5">
      <c r="A533" s="312" t="s">
        <v>361</v>
      </c>
      <c r="B533" s="312"/>
      <c r="C533" s="312"/>
      <c r="D533" s="312"/>
      <c r="E533" s="312"/>
      <c r="F533" s="312"/>
      <c r="Q533" s="312"/>
    </row>
    <row r="534" spans="1:17" ht="13.5">
      <c r="A534" s="312" t="s">
        <v>361</v>
      </c>
      <c r="B534" s="312"/>
      <c r="C534" s="312"/>
      <c r="D534" s="312"/>
      <c r="E534" s="312"/>
      <c r="F534" s="312"/>
      <c r="Q534" s="312"/>
    </row>
    <row r="535" spans="1:17" ht="13.5">
      <c r="A535" s="312" t="s">
        <v>361</v>
      </c>
      <c r="B535" s="312"/>
      <c r="C535" s="312"/>
      <c r="D535" s="312"/>
      <c r="E535" s="312"/>
      <c r="F535" s="312"/>
      <c r="Q535" s="312"/>
    </row>
    <row r="536" spans="1:17" ht="13.5">
      <c r="A536" s="312" t="s">
        <v>361</v>
      </c>
      <c r="B536" s="312"/>
      <c r="C536" s="312"/>
      <c r="D536" s="312"/>
      <c r="E536" s="312"/>
      <c r="F536" s="312"/>
      <c r="Q536" s="312"/>
    </row>
    <row r="537" spans="1:17" ht="13.5">
      <c r="A537" s="312" t="s">
        <v>361</v>
      </c>
      <c r="B537" s="312"/>
      <c r="C537" s="312"/>
      <c r="D537" s="312"/>
      <c r="E537" s="312"/>
      <c r="F537" s="312"/>
      <c r="Q537" s="312"/>
    </row>
    <row r="538" spans="1:17" ht="13.5">
      <c r="A538" s="312" t="s">
        <v>361</v>
      </c>
      <c r="B538" s="312"/>
      <c r="C538" s="312"/>
      <c r="D538" s="312"/>
      <c r="E538" s="312"/>
      <c r="F538" s="312"/>
      <c r="Q538" s="312"/>
    </row>
    <row r="539" spans="1:17" ht="13.5">
      <c r="A539" s="312" t="s">
        <v>361</v>
      </c>
      <c r="B539" s="312"/>
      <c r="C539" s="312"/>
      <c r="D539" s="312"/>
      <c r="E539" s="312"/>
      <c r="F539" s="312"/>
      <c r="Q539" s="312"/>
    </row>
    <row r="540" spans="1:17" ht="13.5">
      <c r="A540" s="312" t="s">
        <v>361</v>
      </c>
      <c r="B540" s="312"/>
      <c r="C540" s="312"/>
      <c r="D540" s="312"/>
      <c r="E540" s="312"/>
      <c r="F540" s="312"/>
      <c r="Q540" s="312"/>
    </row>
    <row r="541" spans="1:17" ht="13.5">
      <c r="A541" s="312" t="s">
        <v>361</v>
      </c>
      <c r="B541" s="312"/>
      <c r="C541" s="312"/>
      <c r="D541" s="312"/>
      <c r="E541" s="312"/>
      <c r="F541" s="312"/>
      <c r="Q541" s="312"/>
    </row>
    <row r="542" spans="1:17" ht="13.5">
      <c r="A542" s="312" t="s">
        <v>361</v>
      </c>
      <c r="B542" s="312"/>
      <c r="C542" s="312"/>
      <c r="D542" s="312"/>
      <c r="E542" s="312"/>
      <c r="F542" s="312"/>
      <c r="Q542" s="312"/>
    </row>
    <row r="543" spans="1:17" ht="13.5">
      <c r="A543" s="312" t="s">
        <v>361</v>
      </c>
      <c r="B543" s="312"/>
      <c r="C543" s="312"/>
      <c r="D543" s="312"/>
      <c r="E543" s="312"/>
      <c r="F543" s="312"/>
      <c r="Q543" s="312"/>
    </row>
    <row r="544" spans="1:17" ht="13.5">
      <c r="A544" s="312" t="s">
        <v>361</v>
      </c>
      <c r="B544" s="312"/>
      <c r="C544" s="312"/>
      <c r="D544" s="312"/>
      <c r="E544" s="312"/>
      <c r="F544" s="312"/>
      <c r="Q544" s="312"/>
    </row>
    <row r="545" spans="1:17" ht="13.5">
      <c r="A545" s="312" t="s">
        <v>361</v>
      </c>
      <c r="B545" s="312"/>
      <c r="C545" s="312"/>
      <c r="D545" s="312"/>
      <c r="E545" s="312"/>
      <c r="F545" s="312"/>
      <c r="Q545" s="312"/>
    </row>
    <row r="546" spans="1:17" ht="13.5">
      <c r="A546" s="312" t="s">
        <v>361</v>
      </c>
      <c r="B546" s="312"/>
      <c r="C546" s="312"/>
      <c r="D546" s="312"/>
      <c r="E546" s="312"/>
      <c r="F546" s="312"/>
      <c r="Q546" s="312"/>
    </row>
    <row r="547" spans="1:17" ht="13.5">
      <c r="A547" s="312" t="s">
        <v>361</v>
      </c>
      <c r="B547" s="312"/>
      <c r="C547" s="312"/>
      <c r="D547" s="312"/>
      <c r="E547" s="312"/>
      <c r="F547" s="312"/>
      <c r="Q547" s="312"/>
    </row>
    <row r="548" spans="1:17" ht="13.5">
      <c r="A548" s="312" t="s">
        <v>361</v>
      </c>
      <c r="B548" s="312"/>
      <c r="C548" s="312"/>
      <c r="D548" s="312"/>
      <c r="E548" s="312"/>
      <c r="F548" s="312"/>
      <c r="Q548" s="312"/>
    </row>
    <row r="549" spans="1:17" ht="13.5">
      <c r="A549" s="312" t="s">
        <v>361</v>
      </c>
      <c r="B549" s="312"/>
      <c r="C549" s="312"/>
      <c r="D549" s="312"/>
      <c r="E549" s="312"/>
      <c r="F549" s="312"/>
      <c r="Q549" s="312"/>
    </row>
    <row r="550" spans="1:17" ht="13.5">
      <c r="A550" s="312" t="s">
        <v>361</v>
      </c>
      <c r="B550" s="312"/>
      <c r="C550" s="312"/>
      <c r="D550" s="312"/>
      <c r="E550" s="312"/>
      <c r="F550" s="312"/>
      <c r="Q550" s="312"/>
    </row>
    <row r="551" spans="1:17" ht="13.5">
      <c r="A551" s="312" t="s">
        <v>361</v>
      </c>
      <c r="B551" s="312"/>
      <c r="C551" s="312"/>
      <c r="D551" s="312"/>
      <c r="E551" s="312"/>
      <c r="F551" s="312"/>
      <c r="Q551" s="312"/>
    </row>
    <row r="552" spans="1:17" ht="13.5">
      <c r="A552" s="312" t="s">
        <v>361</v>
      </c>
      <c r="B552" s="312"/>
      <c r="C552" s="312"/>
      <c r="D552" s="312"/>
      <c r="E552" s="312"/>
      <c r="F552" s="312"/>
      <c r="Q552" s="312"/>
    </row>
    <row r="553" spans="1:17" ht="13.5">
      <c r="A553" s="312" t="s">
        <v>361</v>
      </c>
      <c r="B553" s="312"/>
      <c r="C553" s="312"/>
      <c r="D553" s="312"/>
      <c r="E553" s="312"/>
      <c r="F553" s="312"/>
      <c r="Q553" s="312"/>
    </row>
    <row r="554" spans="1:17" ht="13.5">
      <c r="A554" s="312" t="s">
        <v>361</v>
      </c>
      <c r="B554" s="312"/>
      <c r="C554" s="312"/>
      <c r="D554" s="312"/>
      <c r="E554" s="312"/>
      <c r="F554" s="312"/>
      <c r="Q554" s="312"/>
    </row>
    <row r="555" spans="1:17" ht="13.5">
      <c r="A555" s="312" t="s">
        <v>361</v>
      </c>
      <c r="B555" s="312"/>
      <c r="C555" s="312"/>
      <c r="D555" s="312"/>
      <c r="E555" s="312"/>
      <c r="F555" s="312"/>
      <c r="Q555" s="312"/>
    </row>
    <row r="556" spans="1:17" ht="13.5">
      <c r="A556" s="312" t="s">
        <v>361</v>
      </c>
      <c r="B556" s="312"/>
      <c r="C556" s="312"/>
      <c r="D556" s="312"/>
      <c r="E556" s="312"/>
      <c r="F556" s="312"/>
      <c r="Q556" s="312"/>
    </row>
    <row r="557" spans="1:17" ht="13.5">
      <c r="A557" s="312" t="s">
        <v>361</v>
      </c>
      <c r="B557" s="312"/>
      <c r="C557" s="312"/>
      <c r="D557" s="312"/>
      <c r="E557" s="312"/>
      <c r="F557" s="312"/>
      <c r="Q557" s="312"/>
    </row>
    <row r="558" spans="1:17" ht="13.5">
      <c r="A558" s="312" t="s">
        <v>361</v>
      </c>
      <c r="B558" s="312"/>
      <c r="C558" s="312"/>
      <c r="D558" s="312"/>
      <c r="E558" s="312"/>
      <c r="F558" s="312"/>
      <c r="Q558" s="312"/>
    </row>
    <row r="559" spans="1:17" ht="13.5">
      <c r="A559" s="312" t="s">
        <v>361</v>
      </c>
      <c r="B559" s="312"/>
      <c r="C559" s="312"/>
      <c r="D559" s="312"/>
      <c r="E559" s="312"/>
      <c r="F559" s="312"/>
      <c r="Q559" s="312"/>
    </row>
    <row r="560" spans="1:17" ht="13.5">
      <c r="A560" s="312" t="s">
        <v>361</v>
      </c>
      <c r="B560" s="312"/>
      <c r="C560" s="312"/>
      <c r="D560" s="312"/>
      <c r="E560" s="312"/>
      <c r="F560" s="312"/>
      <c r="Q560" s="312"/>
    </row>
    <row r="561" spans="1:17" ht="13.5">
      <c r="A561" s="312" t="s">
        <v>361</v>
      </c>
      <c r="B561" s="312"/>
      <c r="C561" s="312"/>
      <c r="D561" s="312"/>
      <c r="E561" s="312"/>
      <c r="F561" s="312"/>
      <c r="Q561" s="312"/>
    </row>
    <row r="562" spans="1:17" ht="13.5">
      <c r="A562" s="312" t="s">
        <v>361</v>
      </c>
      <c r="B562" s="312"/>
      <c r="C562" s="312"/>
      <c r="D562" s="312"/>
      <c r="E562" s="312"/>
      <c r="F562" s="312"/>
      <c r="Q562" s="312"/>
    </row>
    <row r="563" spans="1:17" ht="13.5">
      <c r="A563" s="312" t="s">
        <v>361</v>
      </c>
      <c r="B563" s="312"/>
      <c r="C563" s="312"/>
      <c r="D563" s="312"/>
      <c r="E563" s="312"/>
      <c r="F563" s="312"/>
      <c r="Q563" s="312"/>
    </row>
    <row r="564" spans="1:17" ht="13.5">
      <c r="A564" s="312" t="s">
        <v>361</v>
      </c>
      <c r="B564" s="312"/>
      <c r="C564" s="312"/>
      <c r="D564" s="312"/>
      <c r="E564" s="312"/>
      <c r="F564" s="312"/>
      <c r="Q564" s="312"/>
    </row>
    <row r="565" spans="1:17" ht="13.5">
      <c r="A565" s="312" t="s">
        <v>361</v>
      </c>
      <c r="B565" s="312"/>
      <c r="C565" s="312"/>
      <c r="D565" s="312"/>
      <c r="E565" s="312"/>
      <c r="F565" s="312"/>
      <c r="Q565" s="312"/>
    </row>
    <row r="566" spans="1:17" ht="13.5">
      <c r="A566" s="312" t="s">
        <v>361</v>
      </c>
      <c r="B566" s="312"/>
      <c r="C566" s="312"/>
      <c r="D566" s="312"/>
      <c r="E566" s="312"/>
      <c r="F566" s="312"/>
      <c r="Q566" s="312"/>
    </row>
    <row r="567" spans="1:17" ht="13.5">
      <c r="A567" s="312" t="s">
        <v>361</v>
      </c>
      <c r="B567" s="312"/>
      <c r="C567" s="312"/>
      <c r="D567" s="312"/>
      <c r="E567" s="312"/>
      <c r="F567" s="312"/>
      <c r="Q567" s="312"/>
    </row>
    <row r="568" spans="1:17" ht="13.5">
      <c r="A568" s="312" t="s">
        <v>361</v>
      </c>
      <c r="B568" s="312"/>
      <c r="C568" s="312"/>
      <c r="D568" s="312"/>
      <c r="E568" s="312"/>
      <c r="F568" s="312"/>
      <c r="Q568" s="312"/>
    </row>
    <row r="569" spans="1:17" ht="13.5">
      <c r="A569" s="312" t="s">
        <v>361</v>
      </c>
      <c r="B569" s="312"/>
      <c r="C569" s="312"/>
      <c r="D569" s="312"/>
      <c r="E569" s="312"/>
      <c r="F569" s="312"/>
      <c r="Q569" s="312"/>
    </row>
    <row r="570" spans="1:17" ht="13.5">
      <c r="A570" s="312" t="s">
        <v>361</v>
      </c>
      <c r="B570" s="312"/>
      <c r="C570" s="312"/>
      <c r="D570" s="312"/>
      <c r="E570" s="312"/>
      <c r="F570" s="312"/>
      <c r="Q570" s="312"/>
    </row>
    <row r="571" spans="1:17" ht="13.5">
      <c r="A571" s="312" t="s">
        <v>361</v>
      </c>
      <c r="B571" s="312"/>
      <c r="C571" s="312"/>
      <c r="D571" s="312"/>
      <c r="E571" s="312"/>
      <c r="F571" s="312"/>
      <c r="Q571" s="312"/>
    </row>
    <row r="572" spans="1:17" ht="13.5">
      <c r="A572" s="312" t="s">
        <v>361</v>
      </c>
      <c r="B572" s="312"/>
      <c r="C572" s="312"/>
      <c r="D572" s="312"/>
      <c r="E572" s="312"/>
      <c r="F572" s="312"/>
      <c r="Q572" s="312"/>
    </row>
    <row r="573" spans="1:17" ht="13.5">
      <c r="A573" s="312" t="s">
        <v>361</v>
      </c>
      <c r="B573" s="312"/>
      <c r="C573" s="312"/>
      <c r="D573" s="312"/>
      <c r="E573" s="312"/>
      <c r="F573" s="312"/>
      <c r="Q573" s="312"/>
    </row>
    <row r="574" spans="1:17" ht="13.5">
      <c r="A574" s="312" t="s">
        <v>361</v>
      </c>
      <c r="B574" s="312"/>
      <c r="C574" s="312"/>
      <c r="D574" s="312"/>
      <c r="E574" s="312"/>
      <c r="F574" s="312"/>
      <c r="Q574" s="312"/>
    </row>
    <row r="575" spans="1:17" ht="13.5">
      <c r="A575" s="312" t="s">
        <v>361</v>
      </c>
      <c r="B575" s="312"/>
      <c r="C575" s="312"/>
      <c r="D575" s="312"/>
      <c r="E575" s="312"/>
      <c r="F575" s="312"/>
      <c r="Q575" s="312"/>
    </row>
    <row r="576" spans="1:17" ht="13.5">
      <c r="A576" s="312" t="s">
        <v>361</v>
      </c>
      <c r="B576" s="312"/>
      <c r="C576" s="312"/>
      <c r="D576" s="312"/>
      <c r="E576" s="312"/>
      <c r="F576" s="312"/>
      <c r="Q576" s="312"/>
    </row>
    <row r="577" spans="1:17" ht="13.5">
      <c r="A577" s="312" t="s">
        <v>361</v>
      </c>
      <c r="B577" s="312"/>
      <c r="C577" s="312"/>
      <c r="D577" s="312"/>
      <c r="E577" s="312"/>
      <c r="F577" s="312"/>
      <c r="Q577" s="312"/>
    </row>
    <row r="578" spans="1:17" ht="13.5">
      <c r="A578" s="312" t="s">
        <v>361</v>
      </c>
      <c r="B578" s="312"/>
      <c r="C578" s="312"/>
      <c r="D578" s="312"/>
      <c r="E578" s="312"/>
      <c r="F578" s="312"/>
      <c r="Q578" s="312"/>
    </row>
    <row r="579" spans="1:17" ht="13.5">
      <c r="A579" s="312" t="s">
        <v>361</v>
      </c>
      <c r="B579" s="312"/>
      <c r="C579" s="312"/>
      <c r="D579" s="312"/>
      <c r="E579" s="312"/>
      <c r="F579" s="312"/>
      <c r="Q579" s="312"/>
    </row>
    <row r="580" spans="1:17" ht="13.5">
      <c r="A580" s="312" t="s">
        <v>361</v>
      </c>
      <c r="B580" s="312"/>
      <c r="C580" s="312"/>
      <c r="D580" s="312"/>
      <c r="E580" s="312"/>
      <c r="F580" s="312"/>
      <c r="Q580" s="312"/>
    </row>
    <row r="581" spans="1:17" ht="13.5">
      <c r="A581" s="312" t="s">
        <v>361</v>
      </c>
      <c r="B581" s="312"/>
      <c r="C581" s="312"/>
      <c r="D581" s="312"/>
      <c r="E581" s="312"/>
      <c r="F581" s="312"/>
      <c r="Q581" s="312"/>
    </row>
    <row r="582" spans="1:17" ht="13.5">
      <c r="A582" s="312" t="s">
        <v>361</v>
      </c>
      <c r="B582" s="312"/>
      <c r="C582" s="312"/>
      <c r="D582" s="312"/>
      <c r="E582" s="312"/>
      <c r="F582" s="312"/>
      <c r="Q582" s="312"/>
    </row>
    <row r="583" spans="1:17" ht="13.5">
      <c r="A583" s="312" t="s">
        <v>361</v>
      </c>
      <c r="B583" s="312"/>
      <c r="C583" s="312"/>
      <c r="D583" s="312"/>
      <c r="E583" s="312"/>
      <c r="F583" s="312"/>
      <c r="Q583" s="312"/>
    </row>
    <row r="584" spans="1:17" ht="13.5">
      <c r="A584" s="312" t="s">
        <v>361</v>
      </c>
      <c r="B584" s="312"/>
      <c r="C584" s="312"/>
      <c r="D584" s="312"/>
      <c r="E584" s="312"/>
      <c r="F584" s="312"/>
      <c r="Q584" s="312"/>
    </row>
    <row r="585" spans="1:17" ht="13.5">
      <c r="A585" s="312" t="s">
        <v>361</v>
      </c>
      <c r="B585" s="312"/>
      <c r="C585" s="312"/>
      <c r="D585" s="312"/>
      <c r="E585" s="312"/>
      <c r="F585" s="312"/>
      <c r="Q585" s="312"/>
    </row>
    <row r="586" spans="1:17" ht="13.5">
      <c r="A586" s="312" t="s">
        <v>361</v>
      </c>
      <c r="B586" s="312"/>
      <c r="C586" s="312"/>
      <c r="D586" s="312"/>
      <c r="E586" s="312"/>
      <c r="F586" s="312"/>
      <c r="Q586" s="312"/>
    </row>
    <row r="587" spans="1:17" ht="13.5">
      <c r="A587" s="312" t="s">
        <v>361</v>
      </c>
      <c r="B587" s="312"/>
      <c r="C587" s="312"/>
      <c r="D587" s="312"/>
      <c r="E587" s="312"/>
      <c r="F587" s="312"/>
      <c r="Q587" s="312"/>
    </row>
    <row r="588" spans="1:17" ht="13.5">
      <c r="A588" s="312" t="s">
        <v>361</v>
      </c>
      <c r="B588" s="312"/>
      <c r="C588" s="312"/>
      <c r="D588" s="312"/>
      <c r="E588" s="312"/>
      <c r="F588" s="312"/>
      <c r="Q588" s="312"/>
    </row>
    <row r="589" spans="1:17" ht="13.5">
      <c r="A589" s="312" t="s">
        <v>361</v>
      </c>
      <c r="B589" s="312"/>
      <c r="C589" s="312"/>
      <c r="D589" s="312"/>
      <c r="E589" s="312"/>
      <c r="F589" s="312"/>
      <c r="Q589" s="312"/>
    </row>
    <row r="590" spans="1:17" ht="13.5">
      <c r="A590" s="312" t="s">
        <v>361</v>
      </c>
      <c r="B590" s="312"/>
      <c r="C590" s="312"/>
      <c r="D590" s="312"/>
      <c r="E590" s="312"/>
      <c r="F590" s="312"/>
      <c r="Q590" s="312"/>
    </row>
    <row r="591" spans="1:17" ht="13.5">
      <c r="A591" s="312" t="s">
        <v>361</v>
      </c>
      <c r="B591" s="312"/>
      <c r="C591" s="312"/>
      <c r="D591" s="312"/>
      <c r="E591" s="312"/>
      <c r="F591" s="312"/>
      <c r="Q591" s="312"/>
    </row>
    <row r="592" spans="1:17" ht="13.5">
      <c r="A592" s="312" t="s">
        <v>361</v>
      </c>
      <c r="B592" s="312"/>
      <c r="C592" s="312"/>
      <c r="D592" s="312"/>
      <c r="E592" s="312"/>
      <c r="F592" s="312"/>
      <c r="Q592" s="312"/>
    </row>
    <row r="593" spans="1:17" ht="13.5">
      <c r="A593" s="312" t="s">
        <v>361</v>
      </c>
      <c r="B593" s="312"/>
      <c r="C593" s="312"/>
      <c r="D593" s="312"/>
      <c r="E593" s="312"/>
      <c r="F593" s="312"/>
      <c r="Q593" s="312"/>
    </row>
    <row r="594" spans="1:17" ht="13.5">
      <c r="A594" s="312" t="s">
        <v>361</v>
      </c>
      <c r="B594" s="312"/>
      <c r="C594" s="312"/>
      <c r="D594" s="312"/>
      <c r="E594" s="312"/>
      <c r="F594" s="312"/>
      <c r="Q594" s="312"/>
    </row>
    <row r="595" spans="1:17" ht="13.5">
      <c r="A595" s="312" t="s">
        <v>361</v>
      </c>
      <c r="B595" s="312"/>
      <c r="C595" s="312"/>
      <c r="D595" s="312"/>
      <c r="E595" s="312"/>
      <c r="F595" s="312"/>
      <c r="Q595" s="312"/>
    </row>
    <row r="596" spans="1:17" ht="13.5">
      <c r="A596" s="312" t="s">
        <v>361</v>
      </c>
      <c r="B596" s="312"/>
      <c r="C596" s="312"/>
      <c r="D596" s="312"/>
      <c r="E596" s="312"/>
      <c r="F596" s="312"/>
      <c r="Q596" s="312"/>
    </row>
    <row r="597" spans="1:17" ht="13.5">
      <c r="A597" s="312" t="s">
        <v>361</v>
      </c>
      <c r="B597" s="312"/>
      <c r="C597" s="312"/>
      <c r="D597" s="312"/>
      <c r="E597" s="312"/>
      <c r="F597" s="312"/>
      <c r="Q597" s="312"/>
    </row>
    <row r="598" spans="1:17" ht="13.5">
      <c r="A598" s="312" t="s">
        <v>361</v>
      </c>
      <c r="B598" s="312"/>
      <c r="C598" s="312"/>
      <c r="D598" s="312"/>
      <c r="E598" s="312"/>
      <c r="F598" s="312"/>
      <c r="Q598" s="312"/>
    </row>
    <row r="599" spans="1:17" ht="13.5">
      <c r="A599" s="312" t="s">
        <v>361</v>
      </c>
      <c r="B599" s="312"/>
      <c r="C599" s="312"/>
      <c r="D599" s="312"/>
      <c r="E599" s="312"/>
      <c r="F599" s="312"/>
      <c r="Q599" s="312"/>
    </row>
    <row r="600" spans="1:17" ht="13.5">
      <c r="A600" s="312" t="s">
        <v>361</v>
      </c>
      <c r="B600" s="312"/>
      <c r="C600" s="312"/>
      <c r="D600" s="312"/>
      <c r="E600" s="312"/>
      <c r="F600" s="312"/>
      <c r="Q600" s="312"/>
    </row>
    <row r="601" spans="1:17" ht="13.5">
      <c r="A601" s="312" t="s">
        <v>361</v>
      </c>
      <c r="B601" s="312"/>
      <c r="C601" s="312"/>
      <c r="D601" s="312"/>
      <c r="E601" s="312"/>
      <c r="F601" s="312"/>
      <c r="Q601" s="312"/>
    </row>
    <row r="602" spans="1:17" ht="13.5">
      <c r="A602" s="312" t="s">
        <v>361</v>
      </c>
      <c r="B602" s="312"/>
      <c r="C602" s="312"/>
      <c r="D602" s="312"/>
      <c r="E602" s="312"/>
      <c r="F602" s="312"/>
      <c r="Q602" s="312"/>
    </row>
    <row r="603" spans="1:17" ht="13.5">
      <c r="A603" s="312" t="s">
        <v>361</v>
      </c>
      <c r="B603" s="312"/>
      <c r="C603" s="312"/>
      <c r="D603" s="312"/>
      <c r="E603" s="312"/>
      <c r="F603" s="312"/>
      <c r="Q603" s="312"/>
    </row>
    <row r="604" spans="1:17" ht="13.5">
      <c r="A604" s="312" t="s">
        <v>361</v>
      </c>
      <c r="B604" s="312"/>
      <c r="C604" s="312"/>
      <c r="D604" s="312"/>
      <c r="E604" s="312"/>
      <c r="F604" s="312"/>
      <c r="Q604" s="312"/>
    </row>
    <row r="605" spans="1:17" ht="13.5">
      <c r="A605" s="312" t="s">
        <v>361</v>
      </c>
      <c r="B605" s="312"/>
      <c r="C605" s="312"/>
      <c r="D605" s="312"/>
      <c r="E605" s="312"/>
      <c r="F605" s="312"/>
      <c r="Q605" s="312"/>
    </row>
    <row r="606" spans="1:17" ht="13.5">
      <c r="A606" s="312" t="s">
        <v>361</v>
      </c>
      <c r="B606" s="312"/>
      <c r="C606" s="312"/>
      <c r="D606" s="312"/>
      <c r="E606" s="312"/>
      <c r="F606" s="312"/>
      <c r="Q606" s="312"/>
    </row>
    <row r="607" spans="1:17" ht="13.5">
      <c r="A607" s="312" t="s">
        <v>361</v>
      </c>
      <c r="B607" s="312"/>
      <c r="C607" s="312"/>
      <c r="D607" s="312"/>
      <c r="E607" s="312"/>
      <c r="F607" s="312"/>
      <c r="Q607" s="312"/>
    </row>
    <row r="608" spans="1:17" ht="13.5">
      <c r="A608" s="312" t="s">
        <v>361</v>
      </c>
      <c r="B608" s="312"/>
      <c r="C608" s="312"/>
      <c r="D608" s="312"/>
      <c r="E608" s="312"/>
      <c r="F608" s="312"/>
      <c r="Q608" s="312"/>
    </row>
    <row r="609" spans="1:17" ht="13.5">
      <c r="A609" s="312" t="s">
        <v>361</v>
      </c>
      <c r="B609" s="312"/>
      <c r="C609" s="312"/>
      <c r="D609" s="312"/>
      <c r="E609" s="312"/>
      <c r="F609" s="312"/>
      <c r="Q609" s="312"/>
    </row>
    <row r="610" spans="1:17" ht="13.5">
      <c r="A610" s="312" t="s">
        <v>361</v>
      </c>
      <c r="B610" s="312"/>
      <c r="C610" s="312"/>
      <c r="D610" s="312"/>
      <c r="E610" s="312"/>
      <c r="F610" s="312"/>
      <c r="Q610" s="312"/>
    </row>
    <row r="611" spans="1:17" ht="13.5">
      <c r="A611" s="312" t="s">
        <v>361</v>
      </c>
      <c r="B611" s="312"/>
      <c r="C611" s="312"/>
      <c r="D611" s="312"/>
      <c r="E611" s="312"/>
      <c r="F611" s="312"/>
      <c r="Q611" s="312"/>
    </row>
    <row r="612" spans="1:17" ht="13.5">
      <c r="A612" s="312" t="s">
        <v>361</v>
      </c>
      <c r="B612" s="312"/>
      <c r="C612" s="312"/>
      <c r="D612" s="312"/>
      <c r="E612" s="312"/>
      <c r="F612" s="312"/>
      <c r="Q612" s="312"/>
    </row>
    <row r="613" spans="1:17" ht="13.5">
      <c r="A613" s="312" t="s">
        <v>361</v>
      </c>
      <c r="B613" s="312"/>
      <c r="C613" s="312"/>
      <c r="D613" s="312"/>
      <c r="E613" s="312"/>
      <c r="F613" s="312"/>
      <c r="Q613" s="312"/>
    </row>
    <row r="614" spans="1:17" ht="13.5">
      <c r="A614" s="312" t="s">
        <v>361</v>
      </c>
      <c r="B614" s="312"/>
      <c r="C614" s="312"/>
      <c r="D614" s="312"/>
      <c r="E614" s="312"/>
      <c r="F614" s="312"/>
      <c r="Q614" s="312"/>
    </row>
    <row r="615" spans="1:17" ht="13.5">
      <c r="A615" s="312" t="s">
        <v>361</v>
      </c>
      <c r="B615" s="312"/>
      <c r="C615" s="312"/>
      <c r="D615" s="312"/>
      <c r="E615" s="312"/>
      <c r="F615" s="312"/>
      <c r="Q615" s="312"/>
    </row>
    <row r="616" spans="1:17" ht="13.5">
      <c r="A616" s="312" t="s">
        <v>361</v>
      </c>
      <c r="B616" s="312"/>
      <c r="C616" s="312"/>
      <c r="D616" s="312"/>
      <c r="E616" s="312"/>
      <c r="F616" s="312"/>
      <c r="Q616" s="312"/>
    </row>
    <row r="617" spans="1:17" ht="13.5">
      <c r="A617" s="312" t="s">
        <v>361</v>
      </c>
      <c r="B617" s="312"/>
      <c r="C617" s="312"/>
      <c r="D617" s="312"/>
      <c r="E617" s="312"/>
      <c r="F617" s="312"/>
      <c r="Q617" s="312"/>
    </row>
    <row r="618" spans="1:17" ht="13.5">
      <c r="A618" s="312" t="s">
        <v>361</v>
      </c>
      <c r="B618" s="312"/>
      <c r="C618" s="312"/>
      <c r="D618" s="312"/>
      <c r="E618" s="312"/>
      <c r="F618" s="312"/>
      <c r="Q618" s="312"/>
    </row>
    <row r="619" spans="1:17" ht="13.5">
      <c r="A619" s="312" t="s">
        <v>361</v>
      </c>
      <c r="B619" s="312"/>
      <c r="C619" s="312"/>
      <c r="D619" s="312"/>
      <c r="E619" s="312"/>
      <c r="F619" s="312"/>
      <c r="Q619" s="312"/>
    </row>
    <row r="620" spans="1:17" ht="13.5">
      <c r="A620" s="312" t="s">
        <v>361</v>
      </c>
      <c r="B620" s="312"/>
      <c r="C620" s="312"/>
      <c r="D620" s="312"/>
      <c r="E620" s="312"/>
      <c r="F620" s="312"/>
      <c r="Q620" s="312"/>
    </row>
    <row r="621" spans="1:17" ht="13.5">
      <c r="A621" s="312" t="s">
        <v>361</v>
      </c>
      <c r="B621" s="312"/>
      <c r="C621" s="312"/>
      <c r="D621" s="312"/>
      <c r="E621" s="312"/>
      <c r="F621" s="312"/>
      <c r="Q621" s="312"/>
    </row>
    <row r="622" spans="1:17" ht="13.5">
      <c r="A622" s="312" t="s">
        <v>361</v>
      </c>
      <c r="B622" s="312"/>
      <c r="C622" s="312"/>
      <c r="D622" s="312"/>
      <c r="E622" s="312"/>
      <c r="F622" s="312"/>
      <c r="Q622" s="312"/>
    </row>
    <row r="623" spans="1:17" ht="13.5">
      <c r="A623" s="312" t="s">
        <v>361</v>
      </c>
      <c r="B623" s="312"/>
      <c r="C623" s="312"/>
      <c r="D623" s="312"/>
      <c r="E623" s="312"/>
      <c r="F623" s="312"/>
      <c r="Q623" s="312"/>
    </row>
    <row r="624" spans="1:17" ht="13.5">
      <c r="A624" s="312" t="s">
        <v>361</v>
      </c>
      <c r="B624" s="312"/>
      <c r="C624" s="312"/>
      <c r="D624" s="312"/>
      <c r="E624" s="312"/>
      <c r="F624" s="312"/>
      <c r="Q624" s="312"/>
    </row>
    <row r="625" spans="1:17" ht="13.5">
      <c r="A625" s="312" t="s">
        <v>361</v>
      </c>
      <c r="B625" s="312"/>
      <c r="C625" s="312"/>
      <c r="D625" s="312"/>
      <c r="E625" s="312"/>
      <c r="F625" s="312"/>
      <c r="Q625" s="312"/>
    </row>
    <row r="626" spans="1:17" ht="13.5">
      <c r="A626" s="312" t="s">
        <v>361</v>
      </c>
      <c r="B626" s="312"/>
      <c r="C626" s="312"/>
      <c r="D626" s="312"/>
      <c r="E626" s="312"/>
      <c r="F626" s="312"/>
      <c r="Q626" s="312"/>
    </row>
    <row r="627" spans="1:17" ht="13.5">
      <c r="A627" s="312" t="s">
        <v>361</v>
      </c>
      <c r="B627" s="312"/>
      <c r="C627" s="312"/>
      <c r="D627" s="312"/>
      <c r="E627" s="312"/>
      <c r="F627" s="312"/>
      <c r="Q627" s="312"/>
    </row>
    <row r="628" spans="1:17" ht="13.5">
      <c r="A628" s="312" t="s">
        <v>361</v>
      </c>
      <c r="B628" s="312"/>
      <c r="C628" s="312"/>
      <c r="D628" s="312"/>
      <c r="E628" s="312"/>
      <c r="F628" s="312"/>
      <c r="Q628" s="312"/>
    </row>
    <row r="629" spans="1:17" ht="13.5">
      <c r="A629" s="312" t="s">
        <v>361</v>
      </c>
      <c r="B629" s="312"/>
      <c r="C629" s="312"/>
      <c r="D629" s="312"/>
      <c r="E629" s="312"/>
      <c r="F629" s="312"/>
      <c r="Q629" s="312"/>
    </row>
    <row r="630" spans="1:17" ht="13.5">
      <c r="A630" s="312" t="s">
        <v>361</v>
      </c>
      <c r="B630" s="312"/>
      <c r="C630" s="312"/>
      <c r="D630" s="312"/>
      <c r="E630" s="312"/>
      <c r="F630" s="312"/>
      <c r="Q630" s="312"/>
    </row>
    <row r="631" spans="1:17" ht="13.5">
      <c r="A631" s="312" t="s">
        <v>361</v>
      </c>
      <c r="B631" s="312"/>
      <c r="C631" s="312"/>
      <c r="D631" s="312"/>
      <c r="E631" s="312"/>
      <c r="F631" s="312"/>
      <c r="Q631" s="312"/>
    </row>
    <row r="632" spans="1:17" ht="13.5">
      <c r="A632" s="312" t="s">
        <v>361</v>
      </c>
      <c r="B632" s="312"/>
      <c r="C632" s="312"/>
      <c r="D632" s="312"/>
      <c r="E632" s="312"/>
      <c r="F632" s="312"/>
      <c r="Q632" s="312"/>
    </row>
    <row r="633" spans="1:17" ht="13.5">
      <c r="A633" s="312" t="s">
        <v>361</v>
      </c>
      <c r="B633" s="312"/>
      <c r="C633" s="312"/>
      <c r="D633" s="312"/>
      <c r="E633" s="312"/>
      <c r="F633" s="312"/>
      <c r="Q633" s="312"/>
    </row>
    <row r="634" spans="1:17" ht="13.5">
      <c r="A634" s="312" t="s">
        <v>361</v>
      </c>
      <c r="B634" s="312"/>
      <c r="C634" s="312"/>
      <c r="D634" s="312"/>
      <c r="E634" s="312"/>
      <c r="F634" s="312"/>
      <c r="Q634" s="312"/>
    </row>
    <row r="635" spans="1:17" ht="13.5">
      <c r="A635" s="312" t="s">
        <v>361</v>
      </c>
      <c r="B635" s="312"/>
      <c r="C635" s="312"/>
      <c r="D635" s="312"/>
      <c r="E635" s="312"/>
      <c r="F635" s="312"/>
      <c r="Q635" s="312"/>
    </row>
    <row r="636" spans="1:17" ht="13.5">
      <c r="A636" s="312" t="s">
        <v>361</v>
      </c>
      <c r="B636" s="312"/>
      <c r="C636" s="312"/>
      <c r="D636" s="312"/>
      <c r="E636" s="312"/>
      <c r="F636" s="312"/>
      <c r="Q636" s="312"/>
    </row>
    <row r="637" spans="1:17" ht="13.5">
      <c r="A637" s="312" t="s">
        <v>361</v>
      </c>
      <c r="B637" s="312"/>
      <c r="C637" s="312"/>
      <c r="D637" s="312"/>
      <c r="E637" s="312"/>
      <c r="F637" s="312"/>
      <c r="Q637" s="312"/>
    </row>
    <row r="638" spans="1:17" ht="13.5">
      <c r="A638" s="312" t="s">
        <v>361</v>
      </c>
      <c r="B638" s="312"/>
      <c r="C638" s="312"/>
      <c r="D638" s="312"/>
      <c r="E638" s="312"/>
      <c r="F638" s="312"/>
      <c r="Q638" s="312"/>
    </row>
    <row r="639" spans="1:17" ht="13.5">
      <c r="A639" s="312" t="s">
        <v>361</v>
      </c>
      <c r="B639" s="312"/>
      <c r="C639" s="312"/>
      <c r="D639" s="312"/>
      <c r="E639" s="312"/>
      <c r="F639" s="312"/>
      <c r="Q639" s="312"/>
    </row>
    <row r="640" spans="1:17" ht="13.5">
      <c r="A640" s="312" t="s">
        <v>361</v>
      </c>
      <c r="B640" s="312"/>
      <c r="C640" s="312"/>
      <c r="D640" s="312"/>
      <c r="E640" s="312"/>
      <c r="F640" s="312"/>
      <c r="Q640" s="312"/>
    </row>
    <row r="641" spans="1:17" ht="13.5">
      <c r="A641" s="312" t="s">
        <v>361</v>
      </c>
      <c r="B641" s="312"/>
      <c r="C641" s="312"/>
      <c r="D641" s="312"/>
      <c r="E641" s="312"/>
      <c r="F641" s="312"/>
      <c r="Q641" s="312"/>
    </row>
    <row r="642" spans="1:17" ht="13.5">
      <c r="A642" s="312" t="s">
        <v>361</v>
      </c>
      <c r="B642" s="312"/>
      <c r="C642" s="312"/>
      <c r="D642" s="312"/>
      <c r="E642" s="312"/>
      <c r="F642" s="312"/>
      <c r="Q642" s="312"/>
    </row>
    <row r="643" spans="1:17" ht="13.5">
      <c r="A643" s="312" t="s">
        <v>361</v>
      </c>
      <c r="B643" s="312"/>
      <c r="C643" s="312"/>
      <c r="D643" s="312"/>
      <c r="E643" s="312"/>
      <c r="F643" s="312"/>
      <c r="Q643" s="312"/>
    </row>
    <row r="644" spans="1:17" ht="13.5">
      <c r="A644" s="312" t="s">
        <v>361</v>
      </c>
      <c r="B644" s="312"/>
      <c r="C644" s="312"/>
      <c r="D644" s="312"/>
      <c r="E644" s="312"/>
      <c r="F644" s="312"/>
      <c r="Q644" s="312"/>
    </row>
    <row r="645" spans="1:17" ht="13.5">
      <c r="A645" s="312" t="s">
        <v>361</v>
      </c>
      <c r="B645" s="312"/>
      <c r="C645" s="312"/>
      <c r="D645" s="312"/>
      <c r="E645" s="312"/>
      <c r="F645" s="312"/>
      <c r="Q645" s="312"/>
    </row>
    <row r="646" spans="1:17" ht="13.5">
      <c r="A646" s="312" t="s">
        <v>361</v>
      </c>
      <c r="B646" s="312"/>
      <c r="C646" s="312"/>
      <c r="D646" s="312"/>
      <c r="E646" s="312"/>
      <c r="F646" s="312"/>
      <c r="Q646" s="312"/>
    </row>
    <row r="647" spans="1:17" ht="13.5">
      <c r="A647" s="312" t="s">
        <v>361</v>
      </c>
      <c r="B647" s="312"/>
      <c r="C647" s="312"/>
      <c r="D647" s="312"/>
      <c r="E647" s="312"/>
      <c r="F647" s="312"/>
      <c r="Q647" s="312"/>
    </row>
    <row r="648" spans="1:17" ht="13.5">
      <c r="A648" s="312" t="s">
        <v>361</v>
      </c>
      <c r="B648" s="312"/>
      <c r="C648" s="312"/>
      <c r="D648" s="312"/>
      <c r="E648" s="312"/>
      <c r="F648" s="312"/>
      <c r="Q648" s="312"/>
    </row>
    <row r="649" spans="1:17" ht="13.5">
      <c r="A649" s="312" t="s">
        <v>361</v>
      </c>
      <c r="B649" s="312"/>
      <c r="C649" s="312"/>
      <c r="D649" s="312"/>
      <c r="E649" s="312"/>
      <c r="F649" s="312"/>
      <c r="Q649" s="312"/>
    </row>
    <row r="650" spans="1:17" ht="13.5">
      <c r="A650" s="312" t="s">
        <v>361</v>
      </c>
      <c r="B650" s="312"/>
      <c r="C650" s="312"/>
      <c r="D650" s="312"/>
      <c r="E650" s="312"/>
      <c r="F650" s="312"/>
      <c r="Q650" s="312"/>
    </row>
    <row r="651" spans="1:17" ht="13.5">
      <c r="A651" s="312" t="s">
        <v>361</v>
      </c>
      <c r="B651" s="312"/>
      <c r="C651" s="312"/>
      <c r="D651" s="312"/>
      <c r="E651" s="312"/>
      <c r="F651" s="312"/>
      <c r="Q651" s="312"/>
    </row>
    <row r="652" spans="1:17" ht="13.5">
      <c r="A652" s="312" t="s">
        <v>361</v>
      </c>
      <c r="B652" s="312"/>
      <c r="C652" s="312"/>
      <c r="D652" s="312"/>
      <c r="E652" s="312"/>
      <c r="F652" s="312"/>
      <c r="Q652" s="312"/>
    </row>
    <row r="653" spans="1:17" ht="13.5">
      <c r="A653" s="312" t="s">
        <v>361</v>
      </c>
      <c r="B653" s="312"/>
      <c r="C653" s="312"/>
      <c r="D653" s="312"/>
      <c r="E653" s="312"/>
      <c r="F653" s="312"/>
      <c r="Q653" s="312"/>
    </row>
    <row r="654" spans="1:17" ht="13.5">
      <c r="A654" s="312" t="s">
        <v>361</v>
      </c>
      <c r="B654" s="312"/>
      <c r="C654" s="312"/>
      <c r="D654" s="312"/>
      <c r="E654" s="312"/>
      <c r="F654" s="312"/>
      <c r="Q654" s="312"/>
    </row>
    <row r="655" spans="1:17" ht="13.5">
      <c r="A655" s="312" t="s">
        <v>361</v>
      </c>
      <c r="B655" s="312"/>
      <c r="C655" s="312"/>
      <c r="D655" s="312"/>
      <c r="E655" s="312"/>
      <c r="F655" s="312"/>
      <c r="Q655" s="312"/>
    </row>
    <row r="656" spans="1:17" ht="13.5">
      <c r="A656" s="312" t="s">
        <v>361</v>
      </c>
      <c r="B656" s="312"/>
      <c r="C656" s="312"/>
      <c r="D656" s="312"/>
      <c r="E656" s="312"/>
      <c r="F656" s="312"/>
      <c r="Q656" s="312"/>
    </row>
    <row r="657" spans="1:17" ht="13.5">
      <c r="A657" s="312" t="s">
        <v>361</v>
      </c>
      <c r="B657" s="312"/>
      <c r="C657" s="312"/>
      <c r="D657" s="312"/>
      <c r="E657" s="312"/>
      <c r="F657" s="312"/>
      <c r="Q657" s="312"/>
    </row>
    <row r="658" spans="1:17" ht="13.5">
      <c r="A658" s="312" t="s">
        <v>361</v>
      </c>
      <c r="B658" s="312"/>
      <c r="C658" s="312"/>
      <c r="D658" s="312"/>
      <c r="E658" s="312"/>
      <c r="F658" s="312"/>
      <c r="Q658" s="312"/>
    </row>
    <row r="659" spans="1:17" ht="13.5">
      <c r="A659" s="312" t="s">
        <v>361</v>
      </c>
      <c r="B659" s="312"/>
      <c r="C659" s="312"/>
      <c r="D659" s="312"/>
      <c r="E659" s="312"/>
      <c r="F659" s="312"/>
      <c r="Q659" s="312"/>
    </row>
    <row r="660" spans="1:17" ht="13.5">
      <c r="A660" s="312" t="s">
        <v>361</v>
      </c>
      <c r="B660" s="312"/>
      <c r="C660" s="312"/>
      <c r="D660" s="312"/>
      <c r="E660" s="312"/>
      <c r="F660" s="312"/>
      <c r="Q660" s="312"/>
    </row>
    <row r="661" spans="1:17" ht="13.5">
      <c r="A661" s="312" t="s">
        <v>361</v>
      </c>
      <c r="B661" s="312"/>
      <c r="C661" s="312"/>
      <c r="D661" s="312"/>
      <c r="E661" s="312"/>
      <c r="F661" s="312"/>
      <c r="Q661" s="312"/>
    </row>
    <row r="662" spans="1:17" ht="13.5">
      <c r="A662" s="312" t="s">
        <v>361</v>
      </c>
      <c r="B662" s="312"/>
      <c r="C662" s="312"/>
      <c r="D662" s="312"/>
      <c r="E662" s="312"/>
      <c r="F662" s="312"/>
      <c r="Q662" s="312"/>
    </row>
    <row r="663" spans="1:17" ht="13.5">
      <c r="A663" s="312" t="s">
        <v>361</v>
      </c>
      <c r="B663" s="312"/>
      <c r="C663" s="312"/>
      <c r="D663" s="312"/>
      <c r="E663" s="312"/>
      <c r="F663" s="312"/>
      <c r="Q663" s="312"/>
    </row>
    <row r="664" spans="1:17" ht="13.5">
      <c r="A664" s="312" t="s">
        <v>361</v>
      </c>
      <c r="B664" s="312"/>
      <c r="C664" s="312"/>
      <c r="D664" s="312"/>
      <c r="E664" s="312"/>
      <c r="F664" s="312"/>
      <c r="Q664" s="312"/>
    </row>
    <row r="665" spans="1:17" ht="13.5">
      <c r="A665" s="312" t="s">
        <v>361</v>
      </c>
      <c r="B665" s="312"/>
      <c r="C665" s="312"/>
      <c r="D665" s="312"/>
      <c r="E665" s="312"/>
      <c r="F665" s="312"/>
      <c r="Q665" s="312"/>
    </row>
    <row r="666" spans="1:17" ht="13.5">
      <c r="A666" s="312" t="s">
        <v>361</v>
      </c>
      <c r="B666" s="312"/>
      <c r="C666" s="312"/>
      <c r="D666" s="312"/>
      <c r="E666" s="312"/>
      <c r="F666" s="312"/>
      <c r="Q666" s="312"/>
    </row>
    <row r="667" spans="1:17" ht="13.5">
      <c r="A667" s="312" t="s">
        <v>361</v>
      </c>
      <c r="B667" s="312"/>
      <c r="C667" s="312"/>
      <c r="D667" s="312"/>
      <c r="E667" s="312"/>
      <c r="F667" s="312"/>
      <c r="Q667" s="312"/>
    </row>
    <row r="668" spans="1:17" ht="13.5">
      <c r="A668" s="312" t="s">
        <v>361</v>
      </c>
      <c r="B668" s="312"/>
      <c r="C668" s="312"/>
      <c r="D668" s="312"/>
      <c r="E668" s="312"/>
      <c r="F668" s="312"/>
      <c r="Q668" s="312"/>
    </row>
    <row r="669" spans="1:17" ht="13.5">
      <c r="A669" s="312" t="s">
        <v>361</v>
      </c>
      <c r="B669" s="312"/>
      <c r="C669" s="312"/>
      <c r="D669" s="312"/>
      <c r="E669" s="312"/>
      <c r="F669" s="312"/>
      <c r="Q669" s="312"/>
    </row>
    <row r="670" spans="1:17" ht="13.5">
      <c r="A670" s="312" t="s">
        <v>361</v>
      </c>
      <c r="B670" s="312"/>
      <c r="C670" s="312"/>
      <c r="D670" s="312"/>
      <c r="E670" s="312"/>
      <c r="F670" s="312"/>
      <c r="Q670" s="312"/>
    </row>
    <row r="671" spans="1:17" ht="13.5">
      <c r="A671" s="312" t="s">
        <v>361</v>
      </c>
      <c r="B671" s="312"/>
      <c r="C671" s="312"/>
      <c r="D671" s="312"/>
      <c r="E671" s="312"/>
      <c r="F671" s="312"/>
      <c r="Q671" s="312"/>
    </row>
    <row r="672" spans="1:17" ht="13.5">
      <c r="A672" s="312" t="s">
        <v>361</v>
      </c>
      <c r="B672" s="312"/>
      <c r="C672" s="312"/>
      <c r="D672" s="312"/>
      <c r="E672" s="312"/>
      <c r="F672" s="312"/>
      <c r="Q672" s="312"/>
    </row>
    <row r="673" spans="1:17" ht="13.5">
      <c r="A673" s="312" t="s">
        <v>361</v>
      </c>
      <c r="B673" s="312"/>
      <c r="C673" s="312"/>
      <c r="D673" s="312"/>
      <c r="E673" s="312"/>
      <c r="F673" s="312"/>
      <c r="Q673" s="312"/>
    </row>
    <row r="674" spans="1:17" ht="13.5">
      <c r="A674" s="312" t="s">
        <v>361</v>
      </c>
      <c r="B674" s="312"/>
      <c r="C674" s="312"/>
      <c r="D674" s="312"/>
      <c r="E674" s="312"/>
      <c r="F674" s="312"/>
      <c r="Q674" s="312"/>
    </row>
    <row r="675" spans="1:17" ht="13.5">
      <c r="A675" s="312" t="s">
        <v>361</v>
      </c>
      <c r="B675" s="312"/>
      <c r="C675" s="312"/>
      <c r="D675" s="312"/>
      <c r="E675" s="312"/>
      <c r="F675" s="312"/>
      <c r="Q675" s="312"/>
    </row>
    <row r="676" spans="1:17" ht="13.5">
      <c r="A676" s="312" t="s">
        <v>361</v>
      </c>
      <c r="B676" s="312"/>
      <c r="C676" s="312"/>
      <c r="D676" s="312"/>
      <c r="E676" s="312"/>
      <c r="F676" s="312"/>
      <c r="Q676" s="312"/>
    </row>
    <row r="677" spans="1:17" ht="13.5">
      <c r="A677" s="312" t="s">
        <v>361</v>
      </c>
      <c r="B677" s="312"/>
      <c r="C677" s="312"/>
      <c r="D677" s="312"/>
      <c r="E677" s="312"/>
      <c r="F677" s="312"/>
      <c r="Q677" s="312"/>
    </row>
    <row r="678" spans="1:17" ht="13.5">
      <c r="A678" s="312" t="s">
        <v>361</v>
      </c>
      <c r="B678" s="312"/>
      <c r="C678" s="312"/>
      <c r="D678" s="312"/>
      <c r="E678" s="312"/>
      <c r="F678" s="312"/>
      <c r="Q678" s="312"/>
    </row>
    <row r="679" spans="1:17" ht="13.5">
      <c r="A679" s="312" t="s">
        <v>361</v>
      </c>
      <c r="B679" s="312"/>
      <c r="C679" s="312"/>
      <c r="D679" s="312"/>
      <c r="E679" s="312"/>
      <c r="F679" s="312"/>
      <c r="Q679" s="312"/>
    </row>
    <row r="680" spans="1:17" ht="13.5">
      <c r="A680" s="312" t="s">
        <v>361</v>
      </c>
      <c r="B680" s="312"/>
      <c r="C680" s="312"/>
      <c r="D680" s="312"/>
      <c r="E680" s="312"/>
      <c r="F680" s="312"/>
      <c r="Q680" s="312"/>
    </row>
    <row r="681" spans="1:17" ht="13.5">
      <c r="A681" s="312" t="s">
        <v>361</v>
      </c>
      <c r="B681" s="312"/>
      <c r="C681" s="312"/>
      <c r="D681" s="312"/>
      <c r="E681" s="312"/>
      <c r="F681" s="312"/>
      <c r="Q681" s="312"/>
    </row>
    <row r="682" spans="1:17" ht="13.5">
      <c r="A682" s="312" t="s">
        <v>361</v>
      </c>
      <c r="B682" s="312"/>
      <c r="C682" s="312"/>
      <c r="D682" s="312"/>
      <c r="E682" s="312"/>
      <c r="F682" s="312"/>
      <c r="Q682" s="312"/>
    </row>
    <row r="683" spans="1:17" ht="13.5">
      <c r="A683" s="312" t="s">
        <v>361</v>
      </c>
      <c r="B683" s="312"/>
      <c r="C683" s="312"/>
      <c r="D683" s="312"/>
      <c r="E683" s="312"/>
      <c r="F683" s="312"/>
      <c r="Q683" s="312"/>
    </row>
    <row r="684" spans="1:17" ht="13.5">
      <c r="A684" s="312" t="s">
        <v>361</v>
      </c>
      <c r="B684" s="312"/>
      <c r="C684" s="312"/>
      <c r="D684" s="312"/>
      <c r="E684" s="312"/>
      <c r="F684" s="312"/>
      <c r="Q684" s="312"/>
    </row>
    <row r="685" spans="1:17" ht="13.5">
      <c r="A685" s="312" t="s">
        <v>361</v>
      </c>
      <c r="B685" s="312"/>
      <c r="C685" s="312"/>
      <c r="D685" s="312"/>
      <c r="E685" s="312"/>
      <c r="F685" s="312"/>
      <c r="Q685" s="312"/>
    </row>
    <row r="686" spans="1:17" ht="13.5">
      <c r="A686" s="312" t="s">
        <v>361</v>
      </c>
      <c r="B686" s="312"/>
      <c r="C686" s="312"/>
      <c r="D686" s="312"/>
      <c r="E686" s="312"/>
      <c r="F686" s="312"/>
      <c r="Q686" s="312"/>
    </row>
    <row r="687" spans="1:17" ht="13.5">
      <c r="A687" s="312" t="s">
        <v>361</v>
      </c>
      <c r="B687" s="312"/>
      <c r="C687" s="312"/>
      <c r="D687" s="312"/>
      <c r="E687" s="312"/>
      <c r="F687" s="312"/>
      <c r="Q687" s="312"/>
    </row>
    <row r="688" spans="1:17" ht="13.5">
      <c r="A688" s="312" t="s">
        <v>361</v>
      </c>
      <c r="B688" s="312"/>
      <c r="C688" s="312"/>
      <c r="D688" s="312"/>
      <c r="E688" s="312"/>
      <c r="F688" s="312"/>
      <c r="Q688" s="312"/>
    </row>
    <row r="689" spans="1:17" ht="13.5">
      <c r="A689" s="312" t="s">
        <v>361</v>
      </c>
      <c r="B689" s="312"/>
      <c r="C689" s="312"/>
      <c r="D689" s="312"/>
      <c r="E689" s="312"/>
      <c r="F689" s="312"/>
      <c r="Q689" s="312"/>
    </row>
    <row r="690" spans="1:17" ht="13.5">
      <c r="A690" s="312" t="s">
        <v>361</v>
      </c>
      <c r="B690" s="312"/>
      <c r="C690" s="312"/>
      <c r="D690" s="312"/>
      <c r="E690" s="312"/>
      <c r="F690" s="312"/>
      <c r="Q690" s="312"/>
    </row>
    <row r="691" spans="1:17" ht="13.5">
      <c r="A691" s="312" t="s">
        <v>361</v>
      </c>
      <c r="B691" s="312"/>
      <c r="C691" s="312"/>
      <c r="D691" s="312"/>
      <c r="E691" s="312"/>
      <c r="F691" s="312"/>
      <c r="Q691" s="312"/>
    </row>
    <row r="692" spans="1:17" ht="13.5">
      <c r="A692" s="312" t="s">
        <v>361</v>
      </c>
      <c r="B692" s="312"/>
      <c r="C692" s="312"/>
      <c r="D692" s="312"/>
      <c r="E692" s="312"/>
      <c r="F692" s="312"/>
      <c r="Q692" s="312"/>
    </row>
    <row r="693" spans="1:17" ht="13.5">
      <c r="A693" s="312" t="s">
        <v>361</v>
      </c>
      <c r="B693" s="312"/>
      <c r="C693" s="312"/>
      <c r="D693" s="312"/>
      <c r="E693" s="312"/>
      <c r="F693" s="312"/>
      <c r="Q693" s="312"/>
    </row>
    <row r="694" spans="1:17" ht="13.5">
      <c r="A694" s="312" t="s">
        <v>361</v>
      </c>
      <c r="B694" s="312"/>
      <c r="C694" s="312"/>
      <c r="D694" s="312"/>
      <c r="E694" s="312"/>
      <c r="F694" s="312"/>
      <c r="Q694" s="312"/>
    </row>
    <row r="695" spans="1:17" ht="13.5">
      <c r="A695" s="312" t="s">
        <v>361</v>
      </c>
      <c r="B695" s="312"/>
      <c r="C695" s="312"/>
      <c r="D695" s="312"/>
      <c r="E695" s="312"/>
      <c r="F695" s="312"/>
      <c r="Q695" s="312"/>
    </row>
    <row r="696" spans="1:17" ht="13.5">
      <c r="A696" s="312" t="s">
        <v>361</v>
      </c>
      <c r="B696" s="312"/>
      <c r="C696" s="312"/>
      <c r="D696" s="312"/>
      <c r="E696" s="312"/>
      <c r="F696" s="312"/>
      <c r="Q696" s="312"/>
    </row>
    <row r="697" spans="1:17" ht="13.5">
      <c r="A697" s="312" t="s">
        <v>361</v>
      </c>
      <c r="B697" s="312"/>
      <c r="C697" s="312"/>
      <c r="D697" s="312"/>
      <c r="E697" s="312"/>
      <c r="F697" s="312"/>
      <c r="Q697" s="312"/>
    </row>
    <row r="698" spans="1:17" ht="13.5">
      <c r="A698" s="312" t="s">
        <v>361</v>
      </c>
      <c r="B698" s="312"/>
      <c r="C698" s="312"/>
      <c r="D698" s="312"/>
      <c r="E698" s="312"/>
      <c r="F698" s="312"/>
      <c r="Q698" s="312"/>
    </row>
    <row r="699" spans="1:17" ht="13.5">
      <c r="A699" s="312" t="s">
        <v>361</v>
      </c>
      <c r="B699" s="312"/>
      <c r="C699" s="312"/>
      <c r="D699" s="312"/>
      <c r="E699" s="312"/>
      <c r="F699" s="312"/>
      <c r="Q699" s="312"/>
    </row>
    <row r="700" spans="1:17" ht="13.5">
      <c r="A700" s="312" t="s">
        <v>361</v>
      </c>
      <c r="B700" s="312"/>
      <c r="C700" s="312"/>
      <c r="D700" s="312"/>
      <c r="E700" s="312"/>
      <c r="F700" s="312"/>
      <c r="Q700" s="312"/>
    </row>
    <row r="701" spans="1:17" ht="13.5">
      <c r="A701" s="312" t="s">
        <v>361</v>
      </c>
      <c r="B701" s="312"/>
      <c r="C701" s="312"/>
      <c r="D701" s="312"/>
      <c r="E701" s="312"/>
      <c r="F701" s="312"/>
      <c r="Q701" s="312"/>
    </row>
    <row r="702" spans="1:17" ht="13.5">
      <c r="A702" s="312" t="s">
        <v>361</v>
      </c>
      <c r="B702" s="312"/>
      <c r="C702" s="312"/>
      <c r="D702" s="312"/>
      <c r="E702" s="312"/>
      <c r="F702" s="312"/>
      <c r="Q702" s="312"/>
    </row>
    <row r="703" spans="1:17" ht="13.5">
      <c r="A703" s="312" t="s">
        <v>361</v>
      </c>
      <c r="B703" s="312"/>
      <c r="C703" s="312"/>
      <c r="D703" s="312"/>
      <c r="E703" s="312"/>
      <c r="F703" s="312"/>
      <c r="Q703" s="312"/>
    </row>
    <row r="704" spans="1:17" ht="13.5">
      <c r="A704" s="312" t="s">
        <v>361</v>
      </c>
      <c r="B704" s="312"/>
      <c r="C704" s="312"/>
      <c r="D704" s="312"/>
      <c r="E704" s="312"/>
      <c r="F704" s="312"/>
      <c r="Q704" s="312"/>
    </row>
    <row r="705" spans="1:17" ht="13.5">
      <c r="A705" s="312" t="s">
        <v>361</v>
      </c>
      <c r="B705" s="312"/>
      <c r="C705" s="312"/>
      <c r="D705" s="312"/>
      <c r="E705" s="312"/>
      <c r="F705" s="312"/>
      <c r="Q705" s="312"/>
    </row>
    <row r="706" spans="1:17" ht="13.5">
      <c r="A706" s="312" t="s">
        <v>361</v>
      </c>
      <c r="B706" s="312"/>
      <c r="C706" s="312"/>
      <c r="D706" s="312"/>
      <c r="E706" s="312"/>
      <c r="F706" s="312"/>
      <c r="Q706" s="312"/>
    </row>
    <row r="707" spans="1:17" ht="13.5">
      <c r="A707" s="312" t="s">
        <v>361</v>
      </c>
      <c r="B707" s="312"/>
      <c r="C707" s="312"/>
      <c r="D707" s="312"/>
      <c r="E707" s="312"/>
      <c r="F707" s="312"/>
      <c r="Q707" s="312"/>
    </row>
    <row r="708" spans="1:17" ht="13.5">
      <c r="A708" s="312" t="s">
        <v>361</v>
      </c>
      <c r="B708" s="312"/>
      <c r="C708" s="312"/>
      <c r="D708" s="312"/>
      <c r="E708" s="312"/>
      <c r="F708" s="312"/>
      <c r="Q708" s="312"/>
    </row>
    <row r="709" spans="1:17" ht="13.5">
      <c r="A709" s="312" t="s">
        <v>361</v>
      </c>
      <c r="B709" s="312"/>
      <c r="C709" s="312"/>
      <c r="D709" s="312"/>
      <c r="E709" s="312"/>
      <c r="F709" s="312"/>
      <c r="Q709" s="312"/>
    </row>
    <row r="710" spans="1:17" ht="13.5">
      <c r="A710" s="312" t="s">
        <v>361</v>
      </c>
      <c r="B710" s="312"/>
      <c r="C710" s="312"/>
      <c r="D710" s="312"/>
      <c r="E710" s="312"/>
      <c r="F710" s="312"/>
      <c r="Q710" s="312"/>
    </row>
    <row r="711" spans="1:17" ht="13.5">
      <c r="A711" s="312" t="s">
        <v>361</v>
      </c>
      <c r="B711" s="312"/>
      <c r="C711" s="312"/>
      <c r="D711" s="312"/>
      <c r="E711" s="312"/>
      <c r="F711" s="312"/>
      <c r="Q711" s="312"/>
    </row>
    <row r="712" spans="1:17" ht="13.5">
      <c r="A712" s="312" t="s">
        <v>361</v>
      </c>
      <c r="B712" s="312"/>
      <c r="C712" s="312"/>
      <c r="D712" s="312"/>
      <c r="E712" s="312"/>
      <c r="F712" s="312"/>
      <c r="Q712" s="312"/>
    </row>
    <row r="713" spans="1:17" ht="13.5">
      <c r="A713" s="312" t="s">
        <v>361</v>
      </c>
      <c r="B713" s="312"/>
      <c r="C713" s="312"/>
      <c r="D713" s="312"/>
      <c r="E713" s="312"/>
      <c r="F713" s="312"/>
      <c r="Q713" s="312"/>
    </row>
    <row r="714" spans="1:17" ht="13.5">
      <c r="A714" s="312" t="s">
        <v>361</v>
      </c>
      <c r="B714" s="312"/>
      <c r="C714" s="312"/>
      <c r="D714" s="312"/>
      <c r="E714" s="312"/>
      <c r="F714" s="312"/>
      <c r="Q714" s="312"/>
    </row>
    <row r="715" spans="1:17" ht="13.5">
      <c r="A715" s="312" t="s">
        <v>361</v>
      </c>
      <c r="B715" s="312"/>
      <c r="C715" s="312"/>
      <c r="D715" s="312"/>
      <c r="E715" s="312"/>
      <c r="F715" s="312"/>
      <c r="Q715" s="312"/>
    </row>
    <row r="716" spans="1:17" ht="13.5">
      <c r="A716" s="312" t="s">
        <v>361</v>
      </c>
      <c r="B716" s="312"/>
      <c r="C716" s="312"/>
      <c r="D716" s="312"/>
      <c r="E716" s="312"/>
      <c r="F716" s="312"/>
      <c r="Q716" s="312"/>
    </row>
    <row r="717" spans="1:17" ht="13.5">
      <c r="A717" s="312" t="s">
        <v>361</v>
      </c>
      <c r="B717" s="312"/>
      <c r="C717" s="312"/>
      <c r="D717" s="312"/>
      <c r="E717" s="312"/>
      <c r="F717" s="312"/>
      <c r="Q717" s="312"/>
    </row>
    <row r="718" spans="1:17" ht="13.5">
      <c r="A718" s="312" t="s">
        <v>361</v>
      </c>
      <c r="B718" s="312"/>
      <c r="C718" s="312"/>
      <c r="D718" s="312"/>
      <c r="E718" s="312"/>
      <c r="F718" s="312"/>
      <c r="Q718" s="312"/>
    </row>
    <row r="719" spans="1:17" ht="13.5">
      <c r="A719" s="312" t="s">
        <v>361</v>
      </c>
      <c r="B719" s="312"/>
      <c r="C719" s="312"/>
      <c r="D719" s="312"/>
      <c r="E719" s="312"/>
      <c r="F719" s="312"/>
      <c r="Q719" s="312"/>
    </row>
    <row r="720" spans="1:17" ht="13.5">
      <c r="A720" s="312" t="s">
        <v>361</v>
      </c>
      <c r="B720" s="312"/>
      <c r="C720" s="312"/>
      <c r="D720" s="312"/>
      <c r="E720" s="312"/>
      <c r="F720" s="312"/>
      <c r="Q720" s="312"/>
    </row>
    <row r="721" spans="1:17" ht="13.5">
      <c r="A721" s="312" t="s">
        <v>361</v>
      </c>
      <c r="B721" s="312"/>
      <c r="C721" s="312"/>
      <c r="D721" s="312"/>
      <c r="E721" s="312"/>
      <c r="F721" s="312"/>
      <c r="Q721" s="312"/>
    </row>
    <row r="722" spans="1:17" ht="13.5">
      <c r="A722" s="312" t="s">
        <v>361</v>
      </c>
      <c r="B722" s="312"/>
      <c r="C722" s="312"/>
      <c r="D722" s="312"/>
      <c r="E722" s="312"/>
      <c r="F722" s="312"/>
      <c r="Q722" s="312"/>
    </row>
    <row r="723" spans="1:17" ht="13.5">
      <c r="A723" s="312" t="s">
        <v>361</v>
      </c>
      <c r="B723" s="312"/>
      <c r="C723" s="312"/>
      <c r="D723" s="312"/>
      <c r="E723" s="312"/>
      <c r="F723" s="312"/>
      <c r="Q723" s="312"/>
    </row>
    <row r="724" spans="1:17" ht="13.5">
      <c r="A724" s="312" t="s">
        <v>361</v>
      </c>
      <c r="B724" s="312"/>
      <c r="C724" s="312"/>
      <c r="D724" s="312"/>
      <c r="E724" s="312"/>
      <c r="F724" s="312"/>
      <c r="Q724" s="312"/>
    </row>
    <row r="725" spans="1:17" ht="13.5">
      <c r="A725" s="312" t="s">
        <v>361</v>
      </c>
      <c r="B725" s="312"/>
      <c r="C725" s="312"/>
      <c r="D725" s="312"/>
      <c r="E725" s="312"/>
      <c r="F725" s="312"/>
      <c r="Q725" s="312"/>
    </row>
    <row r="726" spans="1:17" ht="13.5">
      <c r="A726" s="312" t="s">
        <v>361</v>
      </c>
      <c r="B726" s="312"/>
      <c r="C726" s="312"/>
      <c r="D726" s="312"/>
      <c r="E726" s="312"/>
      <c r="F726" s="312"/>
      <c r="Q726" s="312"/>
    </row>
    <row r="727" spans="1:17" ht="13.5">
      <c r="A727" s="312" t="s">
        <v>361</v>
      </c>
      <c r="B727" s="312"/>
      <c r="C727" s="312"/>
      <c r="D727" s="312"/>
      <c r="E727" s="312"/>
      <c r="F727" s="312"/>
      <c r="Q727" s="312"/>
    </row>
    <row r="728" spans="1:17" ht="13.5">
      <c r="A728" s="312" t="s">
        <v>361</v>
      </c>
      <c r="B728" s="312"/>
      <c r="C728" s="312"/>
      <c r="D728" s="312"/>
      <c r="E728" s="312"/>
      <c r="F728" s="312"/>
      <c r="Q728" s="312"/>
    </row>
    <row r="729" spans="1:17" ht="13.5">
      <c r="A729" s="312" t="s">
        <v>361</v>
      </c>
      <c r="B729" s="312"/>
      <c r="C729" s="312"/>
      <c r="D729" s="312"/>
      <c r="E729" s="312"/>
      <c r="F729" s="312"/>
      <c r="Q729" s="312"/>
    </row>
    <row r="730" spans="1:17" ht="13.5">
      <c r="A730" s="312" t="s">
        <v>361</v>
      </c>
      <c r="B730" s="312"/>
      <c r="C730" s="312"/>
      <c r="D730" s="312"/>
      <c r="E730" s="312"/>
      <c r="F730" s="312"/>
      <c r="Q730" s="312"/>
    </row>
    <row r="731" spans="1:17" ht="13.5">
      <c r="A731" s="312" t="s">
        <v>361</v>
      </c>
      <c r="B731" s="312"/>
      <c r="C731" s="312"/>
      <c r="D731" s="312"/>
      <c r="E731" s="312"/>
      <c r="F731" s="312"/>
      <c r="Q731" s="312"/>
    </row>
    <row r="732" spans="1:17" ht="13.5">
      <c r="A732" s="312" t="s">
        <v>361</v>
      </c>
      <c r="B732" s="312"/>
      <c r="C732" s="312"/>
      <c r="D732" s="312"/>
      <c r="E732" s="312"/>
      <c r="F732" s="312"/>
      <c r="Q732" s="312"/>
    </row>
    <row r="733" spans="1:17" ht="13.5">
      <c r="A733" s="312" t="s">
        <v>361</v>
      </c>
      <c r="B733" s="312"/>
      <c r="C733" s="312"/>
      <c r="D733" s="312"/>
      <c r="E733" s="312"/>
      <c r="F733" s="312"/>
      <c r="Q733" s="312"/>
    </row>
    <row r="734" spans="1:17" ht="13.5">
      <c r="A734" s="312" t="s">
        <v>361</v>
      </c>
      <c r="B734" s="312"/>
      <c r="C734" s="312"/>
      <c r="D734" s="312"/>
      <c r="E734" s="312"/>
      <c r="F734" s="312"/>
      <c r="Q734" s="312"/>
    </row>
    <row r="735" spans="1:17" ht="13.5">
      <c r="A735" s="312" t="s">
        <v>361</v>
      </c>
      <c r="B735" s="312"/>
      <c r="C735" s="312"/>
      <c r="D735" s="312"/>
      <c r="E735" s="312"/>
      <c r="F735" s="312"/>
      <c r="Q735" s="312"/>
    </row>
    <row r="736" spans="1:17" ht="13.5">
      <c r="A736" s="312" t="s">
        <v>361</v>
      </c>
      <c r="B736" s="312"/>
      <c r="C736" s="312"/>
      <c r="D736" s="312"/>
      <c r="E736" s="312"/>
      <c r="F736" s="312"/>
      <c r="Q736" s="312"/>
    </row>
    <row r="737" spans="1:17" ht="13.5">
      <c r="A737" s="312" t="s">
        <v>361</v>
      </c>
      <c r="B737" s="312"/>
      <c r="C737" s="312"/>
      <c r="D737" s="312"/>
      <c r="E737" s="312"/>
      <c r="F737" s="312"/>
      <c r="Q737" s="312"/>
    </row>
    <row r="738" spans="1:17" ht="13.5">
      <c r="A738" s="312" t="s">
        <v>361</v>
      </c>
      <c r="B738" s="312"/>
      <c r="C738" s="312"/>
      <c r="D738" s="312"/>
      <c r="E738" s="312"/>
      <c r="F738" s="312"/>
      <c r="Q738" s="312"/>
    </row>
    <row r="739" spans="1:17" ht="13.5">
      <c r="A739" s="312" t="s">
        <v>361</v>
      </c>
      <c r="B739" s="312"/>
      <c r="C739" s="312"/>
      <c r="D739" s="312"/>
      <c r="E739" s="312"/>
      <c r="F739" s="312"/>
      <c r="Q739" s="312"/>
    </row>
    <row r="740" spans="1:17" ht="13.5">
      <c r="A740" s="312" t="s">
        <v>361</v>
      </c>
      <c r="B740" s="312"/>
      <c r="C740" s="312"/>
      <c r="D740" s="312"/>
      <c r="E740" s="312"/>
      <c r="F740" s="312"/>
      <c r="Q740" s="312"/>
    </row>
    <row r="741" spans="1:17" ht="13.5">
      <c r="A741" s="312" t="s">
        <v>361</v>
      </c>
      <c r="B741" s="312"/>
      <c r="C741" s="312"/>
      <c r="D741" s="312"/>
      <c r="E741" s="312"/>
      <c r="F741" s="312"/>
      <c r="Q741" s="312"/>
    </row>
    <row r="742" spans="1:17" ht="13.5">
      <c r="A742" s="312" t="s">
        <v>361</v>
      </c>
      <c r="B742" s="312"/>
      <c r="C742" s="312"/>
      <c r="D742" s="312"/>
      <c r="E742" s="312"/>
      <c r="F742" s="312"/>
      <c r="Q742" s="312"/>
    </row>
    <row r="743" spans="1:17" ht="13.5">
      <c r="A743" s="312" t="s">
        <v>361</v>
      </c>
      <c r="B743" s="312"/>
      <c r="C743" s="312"/>
      <c r="D743" s="312"/>
      <c r="E743" s="312"/>
      <c r="F743" s="312"/>
      <c r="Q743" s="312"/>
    </row>
    <row r="744" spans="1:17" ht="13.5">
      <c r="A744" s="312" t="s">
        <v>361</v>
      </c>
      <c r="B744" s="312"/>
      <c r="C744" s="312"/>
      <c r="D744" s="312"/>
      <c r="E744" s="312"/>
      <c r="F744" s="312"/>
      <c r="Q744" s="312"/>
    </row>
    <row r="745" spans="1:17" ht="13.5">
      <c r="A745" s="312" t="s">
        <v>361</v>
      </c>
      <c r="B745" s="312"/>
      <c r="C745" s="312"/>
      <c r="D745" s="312"/>
      <c r="E745" s="312"/>
      <c r="F745" s="312"/>
      <c r="Q745" s="312"/>
    </row>
    <row r="746" spans="1:17" ht="13.5">
      <c r="A746" s="312" t="s">
        <v>361</v>
      </c>
      <c r="B746" s="312"/>
      <c r="C746" s="312"/>
      <c r="D746" s="312"/>
      <c r="E746" s="312"/>
      <c r="F746" s="312"/>
      <c r="Q746" s="312"/>
    </row>
    <row r="747" spans="1:17" ht="13.5">
      <c r="A747" s="312" t="s">
        <v>361</v>
      </c>
      <c r="B747" s="312"/>
      <c r="C747" s="312"/>
      <c r="D747" s="312"/>
      <c r="E747" s="312"/>
      <c r="F747" s="312"/>
      <c r="Q747" s="312"/>
    </row>
    <row r="748" spans="1:17" ht="13.5">
      <c r="A748" s="312" t="s">
        <v>361</v>
      </c>
      <c r="B748" s="312"/>
      <c r="C748" s="312"/>
      <c r="D748" s="312"/>
      <c r="E748" s="312"/>
      <c r="F748" s="312"/>
      <c r="Q748" s="312"/>
    </row>
    <row r="749" spans="1:17" ht="13.5">
      <c r="A749" s="312" t="s">
        <v>361</v>
      </c>
      <c r="B749" s="312"/>
      <c r="C749" s="312"/>
      <c r="D749" s="312"/>
      <c r="E749" s="312"/>
      <c r="F749" s="312"/>
      <c r="Q749" s="312"/>
    </row>
    <row r="750" spans="1:17" ht="13.5">
      <c r="A750" s="312" t="s">
        <v>361</v>
      </c>
      <c r="B750" s="312"/>
      <c r="C750" s="312"/>
      <c r="D750" s="312"/>
      <c r="E750" s="312"/>
      <c r="F750" s="312"/>
      <c r="Q750" s="312"/>
    </row>
    <row r="751" spans="1:17" ht="13.5">
      <c r="A751" s="312" t="s">
        <v>361</v>
      </c>
      <c r="B751" s="312"/>
      <c r="C751" s="312"/>
      <c r="D751" s="312"/>
      <c r="E751" s="312"/>
      <c r="F751" s="312"/>
      <c r="Q751" s="312"/>
    </row>
    <row r="752" spans="1:17" ht="13.5">
      <c r="A752" s="312" t="s">
        <v>361</v>
      </c>
      <c r="B752" s="312"/>
      <c r="C752" s="312"/>
      <c r="D752" s="312"/>
      <c r="E752" s="312"/>
      <c r="F752" s="312"/>
      <c r="Q752" s="312"/>
    </row>
    <row r="753" spans="1:17" ht="13.5">
      <c r="A753" s="312" t="s">
        <v>361</v>
      </c>
      <c r="B753" s="312"/>
      <c r="C753" s="312"/>
      <c r="D753" s="312"/>
      <c r="E753" s="312"/>
      <c r="F753" s="312"/>
      <c r="Q753" s="312"/>
    </row>
    <row r="754" spans="1:17" ht="13.5">
      <c r="A754" s="312" t="s">
        <v>361</v>
      </c>
      <c r="B754" s="312"/>
      <c r="C754" s="312"/>
      <c r="D754" s="312"/>
      <c r="E754" s="312"/>
      <c r="F754" s="312"/>
      <c r="Q754" s="312"/>
    </row>
    <row r="755" spans="1:17" ht="13.5">
      <c r="A755" s="312" t="s">
        <v>361</v>
      </c>
      <c r="B755" s="312"/>
      <c r="C755" s="312"/>
      <c r="D755" s="312"/>
      <c r="E755" s="312"/>
      <c r="F755" s="312"/>
      <c r="Q755" s="312"/>
    </row>
    <row r="756" spans="1:17" ht="13.5">
      <c r="A756" s="312" t="s">
        <v>361</v>
      </c>
      <c r="B756" s="312"/>
      <c r="C756" s="312"/>
      <c r="D756" s="312"/>
      <c r="E756" s="312"/>
      <c r="F756" s="312"/>
      <c r="Q756" s="312"/>
    </row>
    <row r="757" spans="1:17" ht="13.5">
      <c r="A757" s="312" t="s">
        <v>361</v>
      </c>
      <c r="B757" s="312"/>
      <c r="C757" s="312"/>
      <c r="D757" s="312"/>
      <c r="E757" s="312"/>
      <c r="F757" s="312"/>
      <c r="Q757" s="312"/>
    </row>
    <row r="758" spans="1:17" ht="13.5">
      <c r="A758" s="312" t="s">
        <v>361</v>
      </c>
      <c r="B758" s="312"/>
      <c r="C758" s="312"/>
      <c r="D758" s="312"/>
      <c r="E758" s="312"/>
      <c r="F758" s="312"/>
      <c r="Q758" s="312"/>
    </row>
    <row r="759" spans="1:17" ht="13.5">
      <c r="A759" s="312" t="s">
        <v>361</v>
      </c>
      <c r="B759" s="312"/>
      <c r="C759" s="312"/>
      <c r="D759" s="312"/>
      <c r="E759" s="312"/>
      <c r="F759" s="312"/>
      <c r="Q759" s="312"/>
    </row>
    <row r="760" spans="1:17" ht="13.5">
      <c r="A760" s="312" t="s">
        <v>361</v>
      </c>
      <c r="B760" s="312"/>
      <c r="C760" s="312"/>
      <c r="D760" s="312"/>
      <c r="E760" s="312"/>
      <c r="F760" s="312"/>
      <c r="Q760" s="312"/>
    </row>
    <row r="761" spans="1:17" ht="13.5">
      <c r="A761" s="312" t="s">
        <v>361</v>
      </c>
      <c r="B761" s="312"/>
      <c r="C761" s="312"/>
      <c r="D761" s="312"/>
      <c r="E761" s="312"/>
      <c r="F761" s="312"/>
      <c r="Q761" s="312"/>
    </row>
    <row r="762" spans="1:17" ht="13.5">
      <c r="A762" s="312" t="s">
        <v>361</v>
      </c>
      <c r="B762" s="312"/>
      <c r="C762" s="312"/>
      <c r="D762" s="312"/>
      <c r="E762" s="312"/>
      <c r="F762" s="312"/>
      <c r="Q762" s="312"/>
    </row>
    <row r="763" spans="1:17" ht="13.5">
      <c r="A763" s="312" t="s">
        <v>361</v>
      </c>
      <c r="B763" s="312"/>
      <c r="C763" s="312"/>
      <c r="D763" s="312"/>
      <c r="E763" s="312"/>
      <c r="F763" s="312"/>
      <c r="Q763" s="312"/>
    </row>
    <row r="764" spans="1:17" ht="13.5">
      <c r="A764" s="312" t="s">
        <v>361</v>
      </c>
      <c r="B764" s="312"/>
      <c r="C764" s="312"/>
      <c r="D764" s="312"/>
      <c r="E764" s="312"/>
      <c r="F764" s="312"/>
      <c r="Q764" s="312"/>
    </row>
    <row r="765" spans="1:17" ht="13.5">
      <c r="A765" s="312" t="s">
        <v>361</v>
      </c>
      <c r="B765" s="312"/>
      <c r="C765" s="312"/>
      <c r="D765" s="312"/>
      <c r="E765" s="312"/>
      <c r="F765" s="312"/>
      <c r="Q765" s="312"/>
    </row>
    <row r="766" spans="1:17" ht="13.5">
      <c r="A766" s="312" t="s">
        <v>361</v>
      </c>
      <c r="B766" s="312"/>
      <c r="C766" s="312"/>
      <c r="D766" s="312"/>
      <c r="E766" s="312"/>
      <c r="F766" s="312"/>
      <c r="Q766" s="312"/>
    </row>
    <row r="767" spans="1:17" ht="13.5">
      <c r="A767" s="312" t="s">
        <v>361</v>
      </c>
      <c r="B767" s="312"/>
      <c r="C767" s="312"/>
      <c r="D767" s="312"/>
      <c r="E767" s="312"/>
      <c r="F767" s="312"/>
      <c r="Q767" s="312"/>
    </row>
    <row r="768" spans="1:17" ht="13.5">
      <c r="A768" s="312" t="s">
        <v>361</v>
      </c>
      <c r="B768" s="312"/>
      <c r="C768" s="312"/>
      <c r="D768" s="312"/>
      <c r="E768" s="312"/>
      <c r="F768" s="312"/>
      <c r="Q768" s="312"/>
    </row>
    <row r="769" spans="1:17" ht="13.5">
      <c r="A769" s="312" t="s">
        <v>361</v>
      </c>
      <c r="B769" s="312"/>
      <c r="C769" s="312"/>
      <c r="D769" s="312"/>
      <c r="E769" s="312"/>
      <c r="F769" s="312"/>
      <c r="Q769" s="312"/>
    </row>
    <row r="770" spans="1:17" ht="13.5">
      <c r="A770" s="312" t="s">
        <v>361</v>
      </c>
      <c r="B770" s="312"/>
      <c r="C770" s="312"/>
      <c r="D770" s="312"/>
      <c r="E770" s="312"/>
      <c r="F770" s="312"/>
      <c r="Q770" s="312"/>
    </row>
    <row r="771" spans="1:17" ht="13.5">
      <c r="A771" s="312" t="s">
        <v>361</v>
      </c>
      <c r="B771" s="312"/>
      <c r="C771" s="312"/>
      <c r="D771" s="312"/>
      <c r="E771" s="312"/>
      <c r="F771" s="312"/>
      <c r="Q771" s="312"/>
    </row>
    <row r="772" spans="1:17" ht="13.5">
      <c r="A772" s="312" t="s">
        <v>361</v>
      </c>
      <c r="B772" s="312"/>
      <c r="C772" s="312"/>
      <c r="D772" s="312"/>
      <c r="E772" s="312"/>
      <c r="F772" s="312"/>
      <c r="Q772" s="312"/>
    </row>
    <row r="773" spans="1:17" ht="13.5">
      <c r="A773" s="312" t="s">
        <v>361</v>
      </c>
      <c r="B773" s="312"/>
      <c r="C773" s="312"/>
      <c r="D773" s="312"/>
      <c r="E773" s="312"/>
      <c r="F773" s="312"/>
      <c r="Q773" s="312"/>
    </row>
    <row r="774" spans="1:17" ht="13.5">
      <c r="A774" s="312" t="s">
        <v>361</v>
      </c>
      <c r="B774" s="312"/>
      <c r="C774" s="312"/>
      <c r="D774" s="312"/>
      <c r="E774" s="312"/>
      <c r="F774" s="312"/>
      <c r="Q774" s="312"/>
    </row>
    <row r="775" spans="1:17" ht="13.5">
      <c r="A775" s="312" t="s">
        <v>361</v>
      </c>
      <c r="B775" s="312"/>
      <c r="C775" s="312"/>
      <c r="D775" s="312"/>
      <c r="E775" s="312"/>
      <c r="F775" s="312"/>
      <c r="Q775" s="312"/>
    </row>
    <row r="776" spans="1:17" ht="13.5">
      <c r="A776" s="312" t="s">
        <v>361</v>
      </c>
      <c r="B776" s="312"/>
      <c r="C776" s="312"/>
      <c r="D776" s="312"/>
      <c r="E776" s="312"/>
      <c r="F776" s="312"/>
      <c r="Q776" s="312"/>
    </row>
    <row r="777" spans="1:17" ht="13.5">
      <c r="A777" s="312" t="s">
        <v>361</v>
      </c>
      <c r="B777" s="312"/>
      <c r="C777" s="312"/>
      <c r="D777" s="312"/>
      <c r="E777" s="312"/>
      <c r="F777" s="312"/>
      <c r="Q777" s="312"/>
    </row>
    <row r="778" spans="1:17" ht="13.5">
      <c r="A778" s="312" t="s">
        <v>361</v>
      </c>
      <c r="B778" s="312"/>
      <c r="C778" s="312"/>
      <c r="D778" s="312"/>
      <c r="E778" s="312"/>
      <c r="F778" s="312"/>
      <c r="Q778" s="312"/>
    </row>
    <row r="779" spans="1:17" ht="13.5">
      <c r="A779" s="312" t="s">
        <v>361</v>
      </c>
      <c r="B779" s="312"/>
      <c r="C779" s="312"/>
      <c r="D779" s="312"/>
      <c r="E779" s="312"/>
      <c r="F779" s="312"/>
      <c r="Q779" s="312"/>
    </row>
    <row r="780" spans="1:17" ht="13.5">
      <c r="A780" s="312" t="s">
        <v>361</v>
      </c>
      <c r="B780" s="312"/>
      <c r="C780" s="312"/>
      <c r="D780" s="312"/>
      <c r="E780" s="312"/>
      <c r="F780" s="312"/>
      <c r="Q780" s="312"/>
    </row>
    <row r="781" spans="1:17" ht="13.5">
      <c r="A781" s="312" t="s">
        <v>361</v>
      </c>
      <c r="B781" s="312"/>
      <c r="C781" s="312"/>
      <c r="D781" s="312"/>
      <c r="E781" s="312"/>
      <c r="F781" s="312"/>
      <c r="Q781" s="312"/>
    </row>
    <row r="782" spans="1:17" ht="13.5">
      <c r="A782" s="312" t="s">
        <v>361</v>
      </c>
      <c r="B782" s="312"/>
      <c r="C782" s="312"/>
      <c r="D782" s="312"/>
      <c r="E782" s="312"/>
      <c r="F782" s="312"/>
      <c r="Q782" s="312"/>
    </row>
    <row r="783" spans="1:17" ht="13.5">
      <c r="A783" s="312" t="s">
        <v>361</v>
      </c>
      <c r="B783" s="312"/>
      <c r="C783" s="312"/>
      <c r="D783" s="312"/>
      <c r="E783" s="312"/>
      <c r="F783" s="312"/>
      <c r="Q783" s="312"/>
    </row>
    <row r="784" spans="1:17" ht="13.5">
      <c r="A784" s="312" t="s">
        <v>361</v>
      </c>
      <c r="B784" s="312"/>
      <c r="C784" s="312"/>
      <c r="D784" s="312"/>
      <c r="E784" s="312"/>
      <c r="F784" s="312"/>
      <c r="Q784" s="312"/>
    </row>
    <row r="785" spans="1:17" ht="13.5">
      <c r="A785" s="312" t="s">
        <v>361</v>
      </c>
      <c r="B785" s="312"/>
      <c r="C785" s="312"/>
      <c r="D785" s="312"/>
      <c r="E785" s="312"/>
      <c r="F785" s="312"/>
      <c r="Q785" s="312"/>
    </row>
    <row r="786" spans="1:17" ht="13.5">
      <c r="A786" s="312" t="s">
        <v>361</v>
      </c>
      <c r="B786" s="312"/>
      <c r="C786" s="312"/>
      <c r="D786" s="312"/>
      <c r="E786" s="312"/>
      <c r="F786" s="312"/>
      <c r="Q786" s="312"/>
    </row>
    <row r="787" spans="1:17" ht="13.5">
      <c r="A787" s="312" t="s">
        <v>361</v>
      </c>
      <c r="B787" s="312"/>
      <c r="C787" s="312"/>
      <c r="D787" s="312"/>
      <c r="E787" s="312"/>
      <c r="F787" s="312"/>
      <c r="Q787" s="312"/>
    </row>
    <row r="788" spans="1:17" ht="13.5">
      <c r="A788" s="312" t="s">
        <v>361</v>
      </c>
      <c r="B788" s="312"/>
      <c r="C788" s="312"/>
      <c r="D788" s="312"/>
      <c r="E788" s="312"/>
      <c r="F788" s="312"/>
      <c r="Q788" s="312"/>
    </row>
    <row r="789" spans="1:17" ht="13.5">
      <c r="A789" s="312" t="s">
        <v>361</v>
      </c>
      <c r="B789" s="312"/>
      <c r="C789" s="312"/>
      <c r="D789" s="312"/>
      <c r="E789" s="312"/>
      <c r="F789" s="312"/>
      <c r="Q789" s="312"/>
    </row>
    <row r="790" spans="1:17" ht="13.5">
      <c r="A790" s="312" t="s">
        <v>361</v>
      </c>
      <c r="B790" s="312"/>
      <c r="C790" s="312"/>
      <c r="D790" s="312"/>
      <c r="E790" s="312"/>
      <c r="F790" s="312"/>
      <c r="Q790" s="312"/>
    </row>
    <row r="791" spans="1:17" ht="13.5">
      <c r="A791" s="312" t="s">
        <v>361</v>
      </c>
      <c r="B791" s="312"/>
      <c r="C791" s="312"/>
      <c r="D791" s="312"/>
      <c r="E791" s="312"/>
      <c r="F791" s="312"/>
      <c r="Q791" s="312"/>
    </row>
    <row r="792" spans="1:17" ht="13.5">
      <c r="A792" s="312" t="s">
        <v>361</v>
      </c>
      <c r="B792" s="312"/>
      <c r="C792" s="312"/>
      <c r="D792" s="312"/>
      <c r="E792" s="312"/>
      <c r="F792" s="312"/>
      <c r="Q792" s="312"/>
    </row>
    <row r="793" spans="1:17" ht="13.5">
      <c r="A793" s="312" t="s">
        <v>361</v>
      </c>
      <c r="B793" s="312"/>
      <c r="C793" s="312"/>
      <c r="D793" s="312"/>
      <c r="E793" s="312"/>
      <c r="F793" s="312"/>
      <c r="Q793" s="312"/>
    </row>
    <row r="794" spans="1:17" ht="13.5">
      <c r="A794" s="312" t="s">
        <v>361</v>
      </c>
      <c r="B794" s="312"/>
      <c r="C794" s="312"/>
      <c r="D794" s="312"/>
      <c r="E794" s="312"/>
      <c r="F794" s="312"/>
      <c r="Q794" s="312"/>
    </row>
    <row r="795" spans="1:17" ht="13.5">
      <c r="A795" s="312" t="s">
        <v>361</v>
      </c>
      <c r="B795" s="312"/>
      <c r="C795" s="312"/>
      <c r="D795" s="312"/>
      <c r="E795" s="312"/>
      <c r="F795" s="312"/>
      <c r="Q795" s="312"/>
    </row>
    <row r="796" spans="1:17" ht="13.5">
      <c r="A796" s="312" t="s">
        <v>361</v>
      </c>
      <c r="B796" s="312"/>
      <c r="C796" s="312"/>
      <c r="D796" s="312"/>
      <c r="E796" s="312"/>
      <c r="F796" s="312"/>
      <c r="Q796" s="312"/>
    </row>
    <row r="797" spans="1:17" ht="13.5">
      <c r="A797" s="312" t="s">
        <v>361</v>
      </c>
      <c r="B797" s="312"/>
      <c r="C797" s="312"/>
      <c r="D797" s="312"/>
      <c r="E797" s="312"/>
      <c r="F797" s="312"/>
      <c r="Q797" s="312"/>
    </row>
    <row r="798" spans="1:17" ht="13.5">
      <c r="A798" s="312" t="s">
        <v>361</v>
      </c>
      <c r="B798" s="312"/>
      <c r="C798" s="312"/>
      <c r="D798" s="312"/>
      <c r="E798" s="312"/>
      <c r="F798" s="312"/>
      <c r="Q798" s="312"/>
    </row>
    <row r="799" spans="1:17" ht="13.5">
      <c r="A799" s="312" t="s">
        <v>361</v>
      </c>
      <c r="B799" s="312"/>
      <c r="C799" s="312"/>
      <c r="D799" s="312"/>
      <c r="E799" s="312"/>
      <c r="F799" s="312"/>
      <c r="Q799" s="312"/>
    </row>
    <row r="800" spans="1:17" ht="13.5">
      <c r="A800" s="312" t="s">
        <v>361</v>
      </c>
      <c r="B800" s="312"/>
      <c r="C800" s="312"/>
      <c r="D800" s="312"/>
      <c r="E800" s="312"/>
      <c r="F800" s="312"/>
      <c r="Q800" s="312"/>
    </row>
    <row r="801" spans="1:1">
      <c r="A801" s="299" t="s">
        <v>361</v>
      </c>
    </row>
    <row r="802" spans="1:1">
      <c r="A802" s="299" t="s">
        <v>361</v>
      </c>
    </row>
    <row r="803" spans="1:1">
      <c r="A803" s="299" t="s">
        <v>361</v>
      </c>
    </row>
    <row r="804" spans="1:1">
      <c r="A804" s="299" t="s">
        <v>361</v>
      </c>
    </row>
    <row r="805" spans="1:1">
      <c r="A805" s="299" t="s">
        <v>361</v>
      </c>
    </row>
    <row r="806" spans="1:1">
      <c r="A806" s="299" t="s">
        <v>361</v>
      </c>
    </row>
    <row r="807" spans="1:1">
      <c r="A807" s="299" t="s">
        <v>361</v>
      </c>
    </row>
    <row r="808" spans="1:1">
      <c r="A808" s="299" t="s">
        <v>361</v>
      </c>
    </row>
    <row r="809" spans="1:1">
      <c r="A809" s="299" t="s">
        <v>361</v>
      </c>
    </row>
    <row r="810" spans="1:1">
      <c r="A810" s="299" t="s">
        <v>361</v>
      </c>
    </row>
    <row r="811" spans="1:1">
      <c r="A811" s="299" t="s">
        <v>361</v>
      </c>
    </row>
    <row r="812" spans="1:1">
      <c r="A812" s="299" t="s">
        <v>361</v>
      </c>
    </row>
    <row r="813" spans="1:1">
      <c r="A813" s="299" t="s">
        <v>361</v>
      </c>
    </row>
    <row r="814" spans="1:1">
      <c r="A814" s="299" t="s">
        <v>361</v>
      </c>
    </row>
    <row r="815" spans="1:1">
      <c r="A815" s="299" t="s">
        <v>361</v>
      </c>
    </row>
    <row r="816" spans="1:1">
      <c r="A816" s="299" t="s">
        <v>361</v>
      </c>
    </row>
    <row r="817" spans="1:1">
      <c r="A817" s="299" t="s">
        <v>361</v>
      </c>
    </row>
    <row r="818" spans="1:1">
      <c r="A818" s="299" t="s">
        <v>361</v>
      </c>
    </row>
    <row r="819" spans="1:1">
      <c r="A819" s="299" t="s">
        <v>361</v>
      </c>
    </row>
    <row r="820" spans="1:1">
      <c r="A820" s="299" t="s">
        <v>361</v>
      </c>
    </row>
    <row r="821" spans="1:1">
      <c r="A821" s="299" t="s">
        <v>361</v>
      </c>
    </row>
    <row r="822" spans="1:1">
      <c r="A822" s="299" t="s">
        <v>361</v>
      </c>
    </row>
    <row r="823" spans="1:1">
      <c r="A823" s="299" t="s">
        <v>361</v>
      </c>
    </row>
    <row r="824" spans="1:1">
      <c r="A824" s="299" t="s">
        <v>361</v>
      </c>
    </row>
    <row r="825" spans="1:1">
      <c r="A825" s="299" t="s">
        <v>361</v>
      </c>
    </row>
    <row r="826" spans="1:1">
      <c r="A826" s="299" t="s">
        <v>361</v>
      </c>
    </row>
    <row r="827" spans="1:1">
      <c r="A827" s="299" t="s">
        <v>357</v>
      </c>
    </row>
  </sheetData>
  <phoneticPr fontId="3"/>
  <pageMargins left="0.78700000000000003" right="0.78700000000000003" top="0.98399999999999999" bottom="0.98399999999999999" header="0.51200000000000001" footer="0.51200000000000001"/>
  <pageSetup paperSize="9" orientation="portrait" verticalDpi="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indexed="13"/>
  </sheetPr>
  <dimension ref="A1:E9"/>
  <sheetViews>
    <sheetView workbookViewId="0">
      <pane ySplit="1" topLeftCell="A2" activePane="bottomLeft" state="frozen"/>
      <selection activeCell="I15" sqref="I15:I24"/>
      <selection pane="bottomLeft" activeCell="D2" sqref="D2"/>
    </sheetView>
  </sheetViews>
  <sheetFormatPr defaultRowHeight="13.5"/>
  <cols>
    <col min="1" max="1" width="14.5" customWidth="1"/>
    <col min="2" max="2" width="27.25" bestFit="1" customWidth="1"/>
    <col min="3" max="3" width="32" bestFit="1" customWidth="1"/>
    <col min="4" max="4" width="15.5" bestFit="1" customWidth="1"/>
    <col min="5" max="5" width="33.5" bestFit="1" customWidth="1"/>
    <col min="6" max="6" width="32" bestFit="1" customWidth="1"/>
  </cols>
  <sheetData>
    <row r="1" spans="1:5" ht="14.25">
      <c r="A1" s="313" t="s">
        <v>362</v>
      </c>
      <c r="B1" s="314" t="s">
        <v>363</v>
      </c>
      <c r="C1" s="314" t="s">
        <v>364</v>
      </c>
      <c r="D1" s="313" t="s">
        <v>365</v>
      </c>
      <c r="E1" s="314" t="s">
        <v>366</v>
      </c>
    </row>
    <row r="2" spans="1:5" ht="14.25">
      <c r="A2" s="315"/>
      <c r="B2" s="403" t="s">
        <v>608</v>
      </c>
      <c r="C2" s="317" t="str">
        <f>B2 &amp; IF(A2="","","(" &amp; A2 &amp; ")")</f>
        <v>SMC(移行導入)</v>
      </c>
      <c r="D2" s="404" t="s">
        <v>639</v>
      </c>
      <c r="E2" s="405" t="s">
        <v>608</v>
      </c>
    </row>
    <row r="3" spans="1:5" ht="14.25">
      <c r="A3" s="315"/>
      <c r="B3" s="403" t="s">
        <v>609</v>
      </c>
      <c r="C3" s="317" t="str">
        <f t="shared" ref="C3:C9" si="0">B3 &amp; IF(A3="","","(" &amp; A3 &amp; ")")</f>
        <v>SMC(派遣)</v>
      </c>
      <c r="D3" s="315"/>
      <c r="E3" s="405" t="s">
        <v>609</v>
      </c>
    </row>
    <row r="4" spans="1:5" ht="14.25">
      <c r="A4" s="315"/>
      <c r="B4" s="316"/>
      <c r="C4" s="317" t="str">
        <f t="shared" si="0"/>
        <v/>
      </c>
      <c r="D4" s="315"/>
      <c r="E4" s="318"/>
    </row>
    <row r="5" spans="1:5" ht="14.25">
      <c r="A5" s="315"/>
      <c r="B5" s="316"/>
      <c r="C5" s="317" t="str">
        <f t="shared" si="0"/>
        <v/>
      </c>
      <c r="D5" s="315"/>
      <c r="E5" s="318"/>
    </row>
    <row r="6" spans="1:5" ht="14.25">
      <c r="A6" s="315"/>
      <c r="B6" s="316"/>
      <c r="C6" s="317" t="str">
        <f t="shared" si="0"/>
        <v/>
      </c>
      <c r="D6" s="315"/>
      <c r="E6" s="318"/>
    </row>
    <row r="7" spans="1:5" ht="14.25">
      <c r="A7" s="315"/>
      <c r="B7" s="316"/>
      <c r="C7" s="317" t="str">
        <f t="shared" si="0"/>
        <v/>
      </c>
      <c r="D7" s="315"/>
      <c r="E7" s="318"/>
    </row>
    <row r="8" spans="1:5" ht="14.25">
      <c r="A8" s="315"/>
      <c r="B8" s="316"/>
      <c r="C8" s="317" t="str">
        <f t="shared" si="0"/>
        <v/>
      </c>
      <c r="D8" s="315"/>
      <c r="E8" s="318"/>
    </row>
    <row r="9" spans="1:5" ht="14.25">
      <c r="A9" s="315"/>
      <c r="B9" s="316"/>
      <c r="C9" s="317" t="str">
        <f t="shared" si="0"/>
        <v/>
      </c>
      <c r="D9" s="315"/>
      <c r="E9" s="318"/>
    </row>
  </sheetData>
  <phoneticPr fontId="3"/>
  <dataValidations count="1">
    <dataValidation imeMode="halfAlpha" operator="equal" allowBlank="1" showInputMessage="1" showErrorMessage="1" sqref="A2:E22" xr:uid="{00000000-0002-0000-0700-000000000000}"/>
  </dataValidations>
  <pageMargins left="0.78700000000000003" right="0.78700000000000003" top="0.98399999999999999" bottom="0.98399999999999999" header="0.51200000000000001" footer="0.5120000000000000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indexed="13"/>
  </sheetPr>
  <dimension ref="A1:C31"/>
  <sheetViews>
    <sheetView workbookViewId="0">
      <pane ySplit="1" topLeftCell="A2" activePane="bottomLeft" state="frozen"/>
      <selection activeCell="I15" sqref="I15:I24"/>
      <selection pane="bottomLeft" activeCell="A2" sqref="A2:B16"/>
    </sheetView>
  </sheetViews>
  <sheetFormatPr defaultRowHeight="13.5"/>
  <cols>
    <col min="2" max="2" width="15.5" bestFit="1" customWidth="1"/>
    <col min="3" max="3" width="18.875" bestFit="1" customWidth="1"/>
  </cols>
  <sheetData>
    <row r="1" spans="1:3">
      <c r="A1" s="319" t="s">
        <v>367</v>
      </c>
      <c r="B1" s="319" t="s">
        <v>368</v>
      </c>
      <c r="C1" s="319" t="s">
        <v>369</v>
      </c>
    </row>
    <row r="2" spans="1:3">
      <c r="A2" s="304" t="s">
        <v>610</v>
      </c>
      <c r="B2" s="304" t="s">
        <v>611</v>
      </c>
      <c r="C2" s="320" t="str">
        <f t="shared" ref="C2:C31" si="0">IF(OR(A2="",B2=""),"",A2&amp;"："&amp;B2)</f>
        <v>A1：見積</v>
      </c>
    </row>
    <row r="3" spans="1:3">
      <c r="A3" s="304" t="s">
        <v>612</v>
      </c>
      <c r="B3" s="304" t="s">
        <v>613</v>
      </c>
      <c r="C3" s="320" t="str">
        <f t="shared" si="0"/>
        <v>D1：案件対応</v>
      </c>
    </row>
    <row r="4" spans="1:3">
      <c r="A4" s="304" t="s">
        <v>614</v>
      </c>
      <c r="B4" s="304" t="s">
        <v>615</v>
      </c>
      <c r="C4" s="320" t="str">
        <f t="shared" si="0"/>
        <v>D2：検証環境構築</v>
      </c>
    </row>
    <row r="5" spans="1:3">
      <c r="A5" s="304" t="s">
        <v>616</v>
      </c>
      <c r="B5" s="304" t="s">
        <v>617</v>
      </c>
      <c r="C5" s="320" t="str">
        <f t="shared" si="0"/>
        <v>I1：構成管理</v>
      </c>
    </row>
    <row r="6" spans="1:3">
      <c r="A6" s="304" t="s">
        <v>618</v>
      </c>
      <c r="B6" s="304" t="s">
        <v>619</v>
      </c>
      <c r="C6" s="320" t="str">
        <f t="shared" si="0"/>
        <v>I2：保全</v>
      </c>
    </row>
    <row r="7" spans="1:3">
      <c r="A7" s="304" t="s">
        <v>620</v>
      </c>
      <c r="B7" s="304" t="s">
        <v>621</v>
      </c>
      <c r="C7" s="320" t="str">
        <f t="shared" si="0"/>
        <v>J1：サービス影響調査</v>
      </c>
    </row>
    <row r="8" spans="1:3">
      <c r="A8" s="304" t="s">
        <v>622</v>
      </c>
      <c r="B8" s="304" t="s">
        <v>623</v>
      </c>
      <c r="C8" s="320" t="str">
        <f t="shared" si="0"/>
        <v>J2：タイムチャート</v>
      </c>
    </row>
    <row r="9" spans="1:3">
      <c r="A9" s="304" t="s">
        <v>624</v>
      </c>
      <c r="B9" s="304" t="s">
        <v>625</v>
      </c>
      <c r="C9" s="320" t="str">
        <f t="shared" si="0"/>
        <v>K1：作業手順書作成</v>
      </c>
    </row>
    <row r="10" spans="1:3">
      <c r="A10" s="304" t="s">
        <v>626</v>
      </c>
      <c r="B10" s="304" t="s">
        <v>627</v>
      </c>
      <c r="C10" s="320" t="str">
        <f t="shared" si="0"/>
        <v>K2：商用環境構築</v>
      </c>
    </row>
    <row r="11" spans="1:3">
      <c r="A11" s="304" t="s">
        <v>628</v>
      </c>
      <c r="B11" s="304" t="s">
        <v>629</v>
      </c>
      <c r="C11" s="320" t="str">
        <f t="shared" si="0"/>
        <v>K3：作業申請</v>
      </c>
    </row>
    <row r="12" spans="1:3">
      <c r="A12" s="304" t="s">
        <v>630</v>
      </c>
      <c r="B12" s="304" t="s">
        <v>631</v>
      </c>
      <c r="C12" s="320" t="str">
        <f t="shared" si="0"/>
        <v>K4：障害対応</v>
      </c>
    </row>
    <row r="13" spans="1:3">
      <c r="A13" s="304" t="s">
        <v>632</v>
      </c>
      <c r="B13" s="304" t="s">
        <v>633</v>
      </c>
      <c r="C13" s="320" t="str">
        <f t="shared" si="0"/>
        <v>L1：会議体</v>
      </c>
    </row>
    <row r="14" spans="1:3">
      <c r="A14" s="304" t="s">
        <v>634</v>
      </c>
      <c r="B14" s="304" t="s">
        <v>635</v>
      </c>
      <c r="C14" s="320" t="str">
        <f t="shared" si="0"/>
        <v>L2：管理</v>
      </c>
    </row>
    <row r="15" spans="1:3">
      <c r="A15" s="304" t="s">
        <v>636</v>
      </c>
      <c r="B15" s="304" t="s">
        <v>637</v>
      </c>
      <c r="C15" s="320" t="str">
        <f t="shared" si="0"/>
        <v>L3：納品</v>
      </c>
    </row>
    <row r="16" spans="1:3">
      <c r="A16" s="304" t="s">
        <v>638</v>
      </c>
      <c r="B16" s="304" t="s">
        <v>335</v>
      </c>
      <c r="C16" s="320" t="str">
        <f t="shared" si="0"/>
        <v>M1：その他</v>
      </c>
    </row>
    <row r="17" spans="1:3">
      <c r="A17" s="306"/>
      <c r="B17" s="306"/>
      <c r="C17" s="320" t="str">
        <f t="shared" si="0"/>
        <v/>
      </c>
    </row>
    <row r="18" spans="1:3">
      <c r="A18" s="306"/>
      <c r="B18" s="306"/>
      <c r="C18" s="320" t="str">
        <f t="shared" si="0"/>
        <v/>
      </c>
    </row>
    <row r="19" spans="1:3">
      <c r="A19" s="306"/>
      <c r="B19" s="306"/>
      <c r="C19" s="320" t="str">
        <f t="shared" si="0"/>
        <v/>
      </c>
    </row>
    <row r="20" spans="1:3">
      <c r="A20" s="306"/>
      <c r="B20" s="306"/>
      <c r="C20" s="320" t="str">
        <f t="shared" si="0"/>
        <v/>
      </c>
    </row>
    <row r="21" spans="1:3">
      <c r="A21" s="306"/>
      <c r="B21" s="306"/>
      <c r="C21" s="320" t="str">
        <f t="shared" si="0"/>
        <v/>
      </c>
    </row>
    <row r="22" spans="1:3">
      <c r="A22" s="306"/>
      <c r="B22" s="306"/>
      <c r="C22" s="320" t="str">
        <f t="shared" si="0"/>
        <v/>
      </c>
    </row>
    <row r="23" spans="1:3">
      <c r="A23" s="306"/>
      <c r="B23" s="306"/>
      <c r="C23" s="320" t="str">
        <f t="shared" si="0"/>
        <v/>
      </c>
    </row>
    <row r="24" spans="1:3">
      <c r="A24" s="306"/>
      <c r="B24" s="306"/>
      <c r="C24" s="320" t="str">
        <f t="shared" si="0"/>
        <v/>
      </c>
    </row>
    <row r="25" spans="1:3">
      <c r="A25" s="306"/>
      <c r="B25" s="306"/>
      <c r="C25" s="320" t="str">
        <f t="shared" si="0"/>
        <v/>
      </c>
    </row>
    <row r="26" spans="1:3">
      <c r="A26" s="306"/>
      <c r="B26" s="306"/>
      <c r="C26" s="320" t="str">
        <f t="shared" si="0"/>
        <v/>
      </c>
    </row>
    <row r="27" spans="1:3">
      <c r="A27" s="306"/>
      <c r="B27" s="306"/>
      <c r="C27" s="320" t="str">
        <f t="shared" si="0"/>
        <v/>
      </c>
    </row>
    <row r="28" spans="1:3">
      <c r="A28" s="306"/>
      <c r="B28" s="306"/>
      <c r="C28" s="320" t="str">
        <f t="shared" si="0"/>
        <v/>
      </c>
    </row>
    <row r="29" spans="1:3">
      <c r="A29" s="306"/>
      <c r="B29" s="306"/>
      <c r="C29" s="320" t="str">
        <f t="shared" si="0"/>
        <v/>
      </c>
    </row>
    <row r="30" spans="1:3">
      <c r="A30" s="306"/>
      <c r="B30" s="306"/>
      <c r="C30" s="320" t="str">
        <f t="shared" si="0"/>
        <v/>
      </c>
    </row>
    <row r="31" spans="1:3">
      <c r="A31" s="306"/>
      <c r="B31" s="306"/>
      <c r="C31" s="320" t="str">
        <f t="shared" si="0"/>
        <v/>
      </c>
    </row>
  </sheetData>
  <phoneticPr fontId="3"/>
  <pageMargins left="0.78700000000000003" right="0.78700000000000003" top="0.98399999999999999" bottom="0.98399999999999999" header="0.51200000000000001" footer="0.51200000000000001"/>
  <pageSetup paperSize="9" orientation="portrait" verticalDpi="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tabColor indexed="13"/>
  </sheetPr>
  <dimension ref="A1:D342"/>
  <sheetViews>
    <sheetView zoomScale="85" zoomScaleNormal="85" workbookViewId="0">
      <pane ySplit="1" topLeftCell="A2" activePane="bottomLeft" state="frozen"/>
      <selection activeCell="I15" sqref="I15:I24"/>
      <selection pane="bottomLeft" activeCell="A2" sqref="A2"/>
    </sheetView>
  </sheetViews>
  <sheetFormatPr defaultRowHeight="13.5"/>
  <cols>
    <col min="1" max="1" width="12" bestFit="1" customWidth="1"/>
    <col min="2" max="2" width="64.75" customWidth="1"/>
    <col min="3" max="3" width="9.875" bestFit="1" customWidth="1"/>
    <col min="4" max="4" width="80.5" bestFit="1" customWidth="1"/>
  </cols>
  <sheetData>
    <row r="1" spans="1:4">
      <c r="A1" s="321" t="s">
        <v>370</v>
      </c>
      <c r="B1" s="321" t="s">
        <v>371</v>
      </c>
      <c r="C1" s="322" t="s">
        <v>372</v>
      </c>
      <c r="D1" s="323" t="s">
        <v>373</v>
      </c>
    </row>
    <row r="2" spans="1:4">
      <c r="A2" s="324"/>
      <c r="B2" s="324"/>
      <c r="C2" s="324"/>
      <c r="D2" s="323" t="str">
        <f>IF(OR(A2="",B2=""),"",A2&amp;"："&amp;B2)</f>
        <v/>
      </c>
    </row>
    <row r="3" spans="1:4">
      <c r="A3" s="324"/>
      <c r="B3" s="324"/>
      <c r="C3" s="324"/>
      <c r="D3" s="323" t="str">
        <f t="shared" ref="D3:D66" si="0">IF(OR(A3="",B3=""),"",A3&amp;"："&amp;B3)</f>
        <v/>
      </c>
    </row>
    <row r="4" spans="1:4">
      <c r="A4" s="324"/>
      <c r="B4" s="324"/>
      <c r="C4" s="324"/>
      <c r="D4" s="323" t="str">
        <f t="shared" si="0"/>
        <v/>
      </c>
    </row>
    <row r="5" spans="1:4">
      <c r="A5" s="324"/>
      <c r="B5" s="324"/>
      <c r="C5" s="324"/>
      <c r="D5" s="323" t="str">
        <f t="shared" si="0"/>
        <v/>
      </c>
    </row>
    <row r="6" spans="1:4">
      <c r="A6" s="324"/>
      <c r="B6" s="324"/>
      <c r="C6" s="324"/>
      <c r="D6" s="323" t="str">
        <f t="shared" si="0"/>
        <v/>
      </c>
    </row>
    <row r="7" spans="1:4">
      <c r="A7" s="324"/>
      <c r="B7" s="324"/>
      <c r="C7" s="324"/>
      <c r="D7" s="323" t="str">
        <f t="shared" si="0"/>
        <v/>
      </c>
    </row>
    <row r="8" spans="1:4">
      <c r="A8" s="324"/>
      <c r="B8" s="324"/>
      <c r="C8" s="324"/>
      <c r="D8" s="323" t="str">
        <f t="shared" si="0"/>
        <v/>
      </c>
    </row>
    <row r="9" spans="1:4">
      <c r="A9" s="324"/>
      <c r="B9" s="324"/>
      <c r="C9" s="324"/>
      <c r="D9" s="323" t="str">
        <f t="shared" si="0"/>
        <v/>
      </c>
    </row>
    <row r="10" spans="1:4">
      <c r="A10" s="324"/>
      <c r="B10" s="324"/>
      <c r="C10" s="324"/>
      <c r="D10" s="323" t="str">
        <f t="shared" si="0"/>
        <v/>
      </c>
    </row>
    <row r="11" spans="1:4">
      <c r="A11" s="324"/>
      <c r="B11" s="324"/>
      <c r="C11" s="324"/>
      <c r="D11" s="323" t="str">
        <f t="shared" si="0"/>
        <v/>
      </c>
    </row>
    <row r="12" spans="1:4">
      <c r="A12" s="324"/>
      <c r="B12" s="324"/>
      <c r="C12" s="324"/>
      <c r="D12" s="323" t="str">
        <f t="shared" si="0"/>
        <v/>
      </c>
    </row>
    <row r="13" spans="1:4">
      <c r="A13" s="324"/>
      <c r="B13" s="324"/>
      <c r="C13" s="324"/>
      <c r="D13" s="323" t="str">
        <f t="shared" si="0"/>
        <v/>
      </c>
    </row>
    <row r="14" spans="1:4">
      <c r="A14" s="324"/>
      <c r="B14" s="324"/>
      <c r="C14" s="324"/>
      <c r="D14" s="323" t="str">
        <f t="shared" si="0"/>
        <v/>
      </c>
    </row>
    <row r="15" spans="1:4">
      <c r="A15" s="324"/>
      <c r="B15" s="324"/>
      <c r="C15" s="324"/>
      <c r="D15" s="323" t="str">
        <f t="shared" si="0"/>
        <v/>
      </c>
    </row>
    <row r="16" spans="1:4">
      <c r="A16" s="324"/>
      <c r="B16" s="324"/>
      <c r="C16" s="324"/>
      <c r="D16" s="323" t="str">
        <f t="shared" si="0"/>
        <v/>
      </c>
    </row>
    <row r="17" spans="1:4">
      <c r="A17" s="324"/>
      <c r="B17" s="324"/>
      <c r="C17" s="324"/>
      <c r="D17" s="323" t="str">
        <f t="shared" si="0"/>
        <v/>
      </c>
    </row>
    <row r="18" spans="1:4">
      <c r="A18" s="324"/>
      <c r="B18" s="324"/>
      <c r="C18" s="324"/>
      <c r="D18" s="323" t="str">
        <f t="shared" si="0"/>
        <v/>
      </c>
    </row>
    <row r="19" spans="1:4">
      <c r="A19" s="324"/>
      <c r="B19" s="324"/>
      <c r="C19" s="324"/>
      <c r="D19" s="323" t="str">
        <f t="shared" si="0"/>
        <v/>
      </c>
    </row>
    <row r="20" spans="1:4">
      <c r="A20" s="324"/>
      <c r="B20" s="324"/>
      <c r="C20" s="324"/>
      <c r="D20" s="323" t="str">
        <f t="shared" si="0"/>
        <v/>
      </c>
    </row>
    <row r="21" spans="1:4">
      <c r="A21" s="324"/>
      <c r="B21" s="324"/>
      <c r="C21" s="324"/>
      <c r="D21" s="323" t="str">
        <f t="shared" si="0"/>
        <v/>
      </c>
    </row>
    <row r="22" spans="1:4">
      <c r="A22" s="324"/>
      <c r="B22" s="324"/>
      <c r="C22" s="324"/>
      <c r="D22" s="323" t="str">
        <f t="shared" si="0"/>
        <v/>
      </c>
    </row>
    <row r="23" spans="1:4">
      <c r="A23" s="324"/>
      <c r="B23" s="324"/>
      <c r="C23" s="324"/>
      <c r="D23" s="323" t="str">
        <f t="shared" si="0"/>
        <v/>
      </c>
    </row>
    <row r="24" spans="1:4">
      <c r="A24" s="324"/>
      <c r="B24" s="324"/>
      <c r="C24" s="324"/>
      <c r="D24" s="323" t="str">
        <f t="shared" si="0"/>
        <v/>
      </c>
    </row>
    <row r="25" spans="1:4">
      <c r="A25" s="324"/>
      <c r="B25" s="324"/>
      <c r="C25" s="324"/>
      <c r="D25" s="323" t="str">
        <f t="shared" si="0"/>
        <v/>
      </c>
    </row>
    <row r="26" spans="1:4">
      <c r="A26" s="324"/>
      <c r="B26" s="324"/>
      <c r="C26" s="324"/>
      <c r="D26" s="323" t="str">
        <f t="shared" si="0"/>
        <v/>
      </c>
    </row>
    <row r="27" spans="1:4">
      <c r="A27" s="324"/>
      <c r="B27" s="324"/>
      <c r="C27" s="324"/>
      <c r="D27" s="323" t="str">
        <f t="shared" si="0"/>
        <v/>
      </c>
    </row>
    <row r="28" spans="1:4">
      <c r="A28" s="324"/>
      <c r="B28" s="324"/>
      <c r="C28" s="324"/>
      <c r="D28" s="323" t="str">
        <f t="shared" si="0"/>
        <v/>
      </c>
    </row>
    <row r="29" spans="1:4">
      <c r="A29" s="324"/>
      <c r="B29" s="324"/>
      <c r="C29" s="324"/>
      <c r="D29" s="323" t="str">
        <f t="shared" si="0"/>
        <v/>
      </c>
    </row>
    <row r="30" spans="1:4">
      <c r="A30" s="324"/>
      <c r="B30" s="324"/>
      <c r="C30" s="324"/>
      <c r="D30" s="323" t="str">
        <f t="shared" si="0"/>
        <v/>
      </c>
    </row>
    <row r="31" spans="1:4">
      <c r="A31" s="324"/>
      <c r="B31" s="324"/>
      <c r="C31" s="324"/>
      <c r="D31" s="323" t="str">
        <f t="shared" si="0"/>
        <v/>
      </c>
    </row>
    <row r="32" spans="1:4">
      <c r="A32" s="324"/>
      <c r="B32" s="324"/>
      <c r="C32" s="324"/>
      <c r="D32" s="323" t="str">
        <f t="shared" si="0"/>
        <v/>
      </c>
    </row>
    <row r="33" spans="1:4">
      <c r="A33" s="324"/>
      <c r="B33" s="324"/>
      <c r="C33" s="324"/>
      <c r="D33" s="323" t="str">
        <f t="shared" si="0"/>
        <v/>
      </c>
    </row>
    <row r="34" spans="1:4">
      <c r="A34" s="324"/>
      <c r="B34" s="324"/>
      <c r="C34" s="324"/>
      <c r="D34" s="323" t="str">
        <f t="shared" si="0"/>
        <v/>
      </c>
    </row>
    <row r="35" spans="1:4">
      <c r="A35" s="324"/>
      <c r="B35" s="324"/>
      <c r="C35" s="324"/>
      <c r="D35" s="323" t="str">
        <f t="shared" si="0"/>
        <v/>
      </c>
    </row>
    <row r="36" spans="1:4">
      <c r="A36" s="324"/>
      <c r="B36" s="324"/>
      <c r="C36" s="324"/>
      <c r="D36" s="323" t="str">
        <f t="shared" si="0"/>
        <v/>
      </c>
    </row>
    <row r="37" spans="1:4">
      <c r="A37" s="324"/>
      <c r="B37" s="324"/>
      <c r="C37" s="324"/>
      <c r="D37" s="323" t="str">
        <f t="shared" si="0"/>
        <v/>
      </c>
    </row>
    <row r="38" spans="1:4">
      <c r="A38" s="324"/>
      <c r="B38" s="324"/>
      <c r="C38" s="324"/>
      <c r="D38" s="323" t="str">
        <f t="shared" si="0"/>
        <v/>
      </c>
    </row>
    <row r="39" spans="1:4">
      <c r="A39" s="324"/>
      <c r="B39" s="324"/>
      <c r="C39" s="324"/>
      <c r="D39" s="323" t="str">
        <f t="shared" si="0"/>
        <v/>
      </c>
    </row>
    <row r="40" spans="1:4">
      <c r="A40" s="324"/>
      <c r="B40" s="324"/>
      <c r="C40" s="324"/>
      <c r="D40" s="323" t="str">
        <f t="shared" si="0"/>
        <v/>
      </c>
    </row>
    <row r="41" spans="1:4">
      <c r="A41" s="324"/>
      <c r="B41" s="324"/>
      <c r="C41" s="324"/>
      <c r="D41" s="323" t="str">
        <f t="shared" si="0"/>
        <v/>
      </c>
    </row>
    <row r="42" spans="1:4">
      <c r="A42" s="324"/>
      <c r="B42" s="324"/>
      <c r="C42" s="324"/>
      <c r="D42" s="323" t="str">
        <f t="shared" si="0"/>
        <v/>
      </c>
    </row>
    <row r="43" spans="1:4">
      <c r="A43" s="324"/>
      <c r="B43" s="324"/>
      <c r="C43" s="324"/>
      <c r="D43" s="323" t="str">
        <f t="shared" si="0"/>
        <v/>
      </c>
    </row>
    <row r="44" spans="1:4">
      <c r="A44" s="324"/>
      <c r="B44" s="324"/>
      <c r="C44" s="324"/>
      <c r="D44" s="323" t="str">
        <f t="shared" si="0"/>
        <v/>
      </c>
    </row>
    <row r="45" spans="1:4">
      <c r="A45" s="324"/>
      <c r="B45" s="324"/>
      <c r="C45" s="324"/>
      <c r="D45" s="323" t="str">
        <f t="shared" si="0"/>
        <v/>
      </c>
    </row>
    <row r="46" spans="1:4">
      <c r="A46" s="324"/>
      <c r="B46" s="324"/>
      <c r="C46" s="324"/>
      <c r="D46" s="323" t="str">
        <f t="shared" si="0"/>
        <v/>
      </c>
    </row>
    <row r="47" spans="1:4">
      <c r="A47" s="324"/>
      <c r="B47" s="324"/>
      <c r="C47" s="324"/>
      <c r="D47" s="323" t="str">
        <f t="shared" si="0"/>
        <v/>
      </c>
    </row>
    <row r="48" spans="1:4">
      <c r="A48" s="324"/>
      <c r="B48" s="324"/>
      <c r="C48" s="324"/>
      <c r="D48" s="323" t="str">
        <f t="shared" si="0"/>
        <v/>
      </c>
    </row>
    <row r="49" spans="1:4">
      <c r="A49" s="324"/>
      <c r="B49" s="324"/>
      <c r="C49" s="324"/>
      <c r="D49" s="323" t="str">
        <f t="shared" si="0"/>
        <v/>
      </c>
    </row>
    <row r="50" spans="1:4">
      <c r="A50" s="324"/>
      <c r="B50" s="324"/>
      <c r="C50" s="324"/>
      <c r="D50" s="323" t="str">
        <f t="shared" si="0"/>
        <v/>
      </c>
    </row>
    <row r="51" spans="1:4">
      <c r="A51" s="324"/>
      <c r="B51" s="324"/>
      <c r="C51" s="324"/>
      <c r="D51" s="323" t="str">
        <f t="shared" si="0"/>
        <v/>
      </c>
    </row>
    <row r="52" spans="1:4">
      <c r="A52" s="324"/>
      <c r="B52" s="324"/>
      <c r="C52" s="324"/>
      <c r="D52" s="323" t="str">
        <f t="shared" si="0"/>
        <v/>
      </c>
    </row>
    <row r="53" spans="1:4">
      <c r="A53" s="324"/>
      <c r="B53" s="324"/>
      <c r="C53" s="324"/>
      <c r="D53" s="323" t="str">
        <f t="shared" si="0"/>
        <v/>
      </c>
    </row>
    <row r="54" spans="1:4">
      <c r="A54" s="324"/>
      <c r="B54" s="324"/>
      <c r="C54" s="324"/>
      <c r="D54" s="323" t="str">
        <f t="shared" si="0"/>
        <v/>
      </c>
    </row>
    <row r="55" spans="1:4">
      <c r="A55" s="324"/>
      <c r="B55" s="324"/>
      <c r="C55" s="324"/>
      <c r="D55" s="323" t="str">
        <f t="shared" si="0"/>
        <v/>
      </c>
    </row>
    <row r="56" spans="1:4">
      <c r="A56" s="324"/>
      <c r="B56" s="324"/>
      <c r="C56" s="324"/>
      <c r="D56" s="323" t="str">
        <f t="shared" si="0"/>
        <v/>
      </c>
    </row>
    <row r="57" spans="1:4">
      <c r="A57" s="324"/>
      <c r="B57" s="324"/>
      <c r="C57" s="324"/>
      <c r="D57" s="323" t="str">
        <f t="shared" si="0"/>
        <v/>
      </c>
    </row>
    <row r="58" spans="1:4">
      <c r="A58" s="324"/>
      <c r="B58" s="324"/>
      <c r="C58" s="324"/>
      <c r="D58" s="323" t="str">
        <f t="shared" si="0"/>
        <v/>
      </c>
    </row>
    <row r="59" spans="1:4">
      <c r="A59" s="324"/>
      <c r="B59" s="324"/>
      <c r="C59" s="324"/>
      <c r="D59" s="323" t="str">
        <f t="shared" si="0"/>
        <v/>
      </c>
    </row>
    <row r="60" spans="1:4">
      <c r="A60" s="324"/>
      <c r="B60" s="324"/>
      <c r="C60" s="324"/>
      <c r="D60" s="323" t="str">
        <f t="shared" si="0"/>
        <v/>
      </c>
    </row>
    <row r="61" spans="1:4">
      <c r="A61" s="324"/>
      <c r="B61" s="324"/>
      <c r="C61" s="324"/>
      <c r="D61" s="323" t="str">
        <f t="shared" si="0"/>
        <v/>
      </c>
    </row>
    <row r="62" spans="1:4">
      <c r="A62" s="324"/>
      <c r="B62" s="324"/>
      <c r="C62" s="324"/>
      <c r="D62" s="323" t="str">
        <f t="shared" si="0"/>
        <v/>
      </c>
    </row>
    <row r="63" spans="1:4">
      <c r="A63" s="324"/>
      <c r="B63" s="324"/>
      <c r="C63" s="324"/>
      <c r="D63" s="323" t="str">
        <f t="shared" si="0"/>
        <v/>
      </c>
    </row>
    <row r="64" spans="1:4">
      <c r="A64" s="324"/>
      <c r="B64" s="324"/>
      <c r="C64" s="324"/>
      <c r="D64" s="323" t="str">
        <f t="shared" si="0"/>
        <v/>
      </c>
    </row>
    <row r="65" spans="1:4">
      <c r="A65" s="324"/>
      <c r="B65" s="324"/>
      <c r="C65" s="324"/>
      <c r="D65" s="323" t="str">
        <f t="shared" si="0"/>
        <v/>
      </c>
    </row>
    <row r="66" spans="1:4">
      <c r="A66" s="324"/>
      <c r="B66" s="324"/>
      <c r="C66" s="324"/>
      <c r="D66" s="323" t="str">
        <f t="shared" si="0"/>
        <v/>
      </c>
    </row>
    <row r="67" spans="1:4">
      <c r="A67" s="324"/>
      <c r="B67" s="324"/>
      <c r="C67" s="324"/>
      <c r="D67" s="323" t="str">
        <f t="shared" ref="D67:D130" si="1">IF(OR(A67="",B67=""),"",A67&amp;"："&amp;B67)</f>
        <v/>
      </c>
    </row>
    <row r="68" spans="1:4">
      <c r="A68" s="324"/>
      <c r="B68" s="324"/>
      <c r="C68" s="324"/>
      <c r="D68" s="323" t="str">
        <f t="shared" si="1"/>
        <v/>
      </c>
    </row>
    <row r="69" spans="1:4">
      <c r="A69" s="324"/>
      <c r="B69" s="324"/>
      <c r="C69" s="324"/>
      <c r="D69" s="323" t="str">
        <f t="shared" si="1"/>
        <v/>
      </c>
    </row>
    <row r="70" spans="1:4">
      <c r="A70" s="324"/>
      <c r="B70" s="324"/>
      <c r="C70" s="324"/>
      <c r="D70" s="323" t="str">
        <f t="shared" si="1"/>
        <v/>
      </c>
    </row>
    <row r="71" spans="1:4">
      <c r="A71" s="324"/>
      <c r="B71" s="324"/>
      <c r="C71" s="324"/>
      <c r="D71" s="323" t="str">
        <f t="shared" si="1"/>
        <v/>
      </c>
    </row>
    <row r="72" spans="1:4">
      <c r="A72" s="324"/>
      <c r="B72" s="324"/>
      <c r="C72" s="324"/>
      <c r="D72" s="323" t="str">
        <f t="shared" si="1"/>
        <v/>
      </c>
    </row>
    <row r="73" spans="1:4">
      <c r="A73" s="324"/>
      <c r="B73" s="324"/>
      <c r="C73" s="324"/>
      <c r="D73" s="323" t="str">
        <f t="shared" si="1"/>
        <v/>
      </c>
    </row>
    <row r="74" spans="1:4">
      <c r="A74" s="324"/>
      <c r="B74" s="324"/>
      <c r="C74" s="324"/>
      <c r="D74" s="323" t="str">
        <f t="shared" si="1"/>
        <v/>
      </c>
    </row>
    <row r="75" spans="1:4">
      <c r="A75" s="324"/>
      <c r="B75" s="324"/>
      <c r="C75" s="324"/>
      <c r="D75" s="323" t="str">
        <f t="shared" si="1"/>
        <v/>
      </c>
    </row>
    <row r="76" spans="1:4">
      <c r="A76" s="324"/>
      <c r="B76" s="324"/>
      <c r="C76" s="324"/>
      <c r="D76" s="323" t="str">
        <f t="shared" si="1"/>
        <v/>
      </c>
    </row>
    <row r="77" spans="1:4">
      <c r="A77" s="324"/>
      <c r="B77" s="324"/>
      <c r="C77" s="324"/>
      <c r="D77" s="323" t="str">
        <f t="shared" si="1"/>
        <v/>
      </c>
    </row>
    <row r="78" spans="1:4">
      <c r="A78" s="324"/>
      <c r="B78" s="324"/>
      <c r="C78" s="324"/>
      <c r="D78" s="323" t="str">
        <f t="shared" si="1"/>
        <v/>
      </c>
    </row>
    <row r="79" spans="1:4">
      <c r="A79" s="324"/>
      <c r="B79" s="324"/>
      <c r="C79" s="324"/>
      <c r="D79" s="323" t="str">
        <f t="shared" si="1"/>
        <v/>
      </c>
    </row>
    <row r="80" spans="1:4">
      <c r="A80" s="324"/>
      <c r="B80" s="324"/>
      <c r="C80" s="324"/>
      <c r="D80" s="323" t="str">
        <f t="shared" si="1"/>
        <v/>
      </c>
    </row>
    <row r="81" spans="1:4">
      <c r="A81" s="324"/>
      <c r="B81" s="324"/>
      <c r="C81" s="324"/>
      <c r="D81" s="323" t="str">
        <f t="shared" si="1"/>
        <v/>
      </c>
    </row>
    <row r="82" spans="1:4">
      <c r="A82" s="324"/>
      <c r="B82" s="324"/>
      <c r="C82" s="324"/>
      <c r="D82" s="323" t="str">
        <f t="shared" si="1"/>
        <v/>
      </c>
    </row>
    <row r="83" spans="1:4">
      <c r="A83" s="324"/>
      <c r="B83" s="324"/>
      <c r="C83" s="324"/>
      <c r="D83" s="323" t="str">
        <f t="shared" si="1"/>
        <v/>
      </c>
    </row>
    <row r="84" spans="1:4">
      <c r="A84" s="324"/>
      <c r="B84" s="324"/>
      <c r="C84" s="324"/>
      <c r="D84" s="323" t="str">
        <f t="shared" si="1"/>
        <v/>
      </c>
    </row>
    <row r="85" spans="1:4">
      <c r="A85" s="324"/>
      <c r="B85" s="324"/>
      <c r="C85" s="324"/>
      <c r="D85" s="323" t="str">
        <f t="shared" si="1"/>
        <v/>
      </c>
    </row>
    <row r="86" spans="1:4">
      <c r="A86" s="324"/>
      <c r="B86" s="324"/>
      <c r="C86" s="324"/>
      <c r="D86" s="323" t="str">
        <f t="shared" si="1"/>
        <v/>
      </c>
    </row>
    <row r="87" spans="1:4">
      <c r="A87" s="324"/>
      <c r="B87" s="324"/>
      <c r="C87" s="324"/>
      <c r="D87" s="323" t="str">
        <f t="shared" si="1"/>
        <v/>
      </c>
    </row>
    <row r="88" spans="1:4">
      <c r="A88" s="324"/>
      <c r="B88" s="324"/>
      <c r="C88" s="324"/>
      <c r="D88" s="323" t="str">
        <f t="shared" si="1"/>
        <v/>
      </c>
    </row>
    <row r="89" spans="1:4">
      <c r="A89" s="324"/>
      <c r="B89" s="324"/>
      <c r="C89" s="324"/>
      <c r="D89" s="323" t="str">
        <f t="shared" si="1"/>
        <v/>
      </c>
    </row>
    <row r="90" spans="1:4">
      <c r="A90" s="324"/>
      <c r="B90" s="324"/>
      <c r="C90" s="324"/>
      <c r="D90" s="323" t="str">
        <f t="shared" si="1"/>
        <v/>
      </c>
    </row>
    <row r="91" spans="1:4">
      <c r="A91" s="324"/>
      <c r="B91" s="324"/>
      <c r="C91" s="324"/>
      <c r="D91" s="323" t="str">
        <f t="shared" si="1"/>
        <v/>
      </c>
    </row>
    <row r="92" spans="1:4">
      <c r="A92" s="324"/>
      <c r="B92" s="324"/>
      <c r="C92" s="324"/>
      <c r="D92" s="323" t="str">
        <f t="shared" si="1"/>
        <v/>
      </c>
    </row>
    <row r="93" spans="1:4">
      <c r="A93" s="324"/>
      <c r="B93" s="324"/>
      <c r="C93" s="324"/>
      <c r="D93" s="323" t="str">
        <f t="shared" si="1"/>
        <v/>
      </c>
    </row>
    <row r="94" spans="1:4">
      <c r="A94" s="324"/>
      <c r="B94" s="324"/>
      <c r="C94" s="324"/>
      <c r="D94" s="323" t="str">
        <f t="shared" si="1"/>
        <v/>
      </c>
    </row>
    <row r="95" spans="1:4">
      <c r="A95" s="324"/>
      <c r="B95" s="324"/>
      <c r="C95" s="324"/>
      <c r="D95" s="323" t="str">
        <f t="shared" si="1"/>
        <v/>
      </c>
    </row>
    <row r="96" spans="1:4">
      <c r="A96" s="324"/>
      <c r="B96" s="324"/>
      <c r="C96" s="324"/>
      <c r="D96" s="323" t="str">
        <f t="shared" si="1"/>
        <v/>
      </c>
    </row>
    <row r="97" spans="1:4">
      <c r="A97" s="324"/>
      <c r="B97" s="324"/>
      <c r="C97" s="324"/>
      <c r="D97" s="323" t="str">
        <f t="shared" si="1"/>
        <v/>
      </c>
    </row>
    <row r="98" spans="1:4">
      <c r="A98" s="324"/>
      <c r="B98" s="324"/>
      <c r="C98" s="324"/>
      <c r="D98" s="323" t="str">
        <f t="shared" si="1"/>
        <v/>
      </c>
    </row>
    <row r="99" spans="1:4">
      <c r="A99" s="324"/>
      <c r="B99" s="324"/>
      <c r="C99" s="324"/>
      <c r="D99" s="323" t="str">
        <f t="shared" si="1"/>
        <v/>
      </c>
    </row>
    <row r="100" spans="1:4">
      <c r="A100" s="324"/>
      <c r="B100" s="324"/>
      <c r="C100" s="324"/>
      <c r="D100" s="323" t="str">
        <f t="shared" si="1"/>
        <v/>
      </c>
    </row>
    <row r="101" spans="1:4">
      <c r="A101" s="324"/>
      <c r="B101" s="324"/>
      <c r="C101" s="324"/>
      <c r="D101" s="323" t="str">
        <f t="shared" si="1"/>
        <v/>
      </c>
    </row>
    <row r="102" spans="1:4">
      <c r="A102" s="324"/>
      <c r="B102" s="324"/>
      <c r="C102" s="324"/>
      <c r="D102" s="323" t="str">
        <f t="shared" si="1"/>
        <v/>
      </c>
    </row>
    <row r="103" spans="1:4">
      <c r="A103" s="324"/>
      <c r="B103" s="324"/>
      <c r="C103" s="324"/>
      <c r="D103" s="323" t="str">
        <f t="shared" si="1"/>
        <v/>
      </c>
    </row>
    <row r="104" spans="1:4">
      <c r="A104" s="324"/>
      <c r="B104" s="324"/>
      <c r="C104" s="324"/>
      <c r="D104" s="323" t="str">
        <f t="shared" si="1"/>
        <v/>
      </c>
    </row>
    <row r="105" spans="1:4">
      <c r="A105" s="324"/>
      <c r="B105" s="324"/>
      <c r="C105" s="324"/>
      <c r="D105" s="323" t="str">
        <f t="shared" si="1"/>
        <v/>
      </c>
    </row>
    <row r="106" spans="1:4">
      <c r="A106" s="324"/>
      <c r="B106" s="324"/>
      <c r="C106" s="324"/>
      <c r="D106" s="323" t="str">
        <f t="shared" si="1"/>
        <v/>
      </c>
    </row>
    <row r="107" spans="1:4">
      <c r="A107" s="324"/>
      <c r="B107" s="324"/>
      <c r="C107" s="324"/>
      <c r="D107" s="323" t="str">
        <f t="shared" si="1"/>
        <v/>
      </c>
    </row>
    <row r="108" spans="1:4">
      <c r="A108" s="324"/>
      <c r="B108" s="324"/>
      <c r="C108" s="324"/>
      <c r="D108" s="323" t="str">
        <f t="shared" si="1"/>
        <v/>
      </c>
    </row>
    <row r="109" spans="1:4">
      <c r="A109" s="324"/>
      <c r="B109" s="324"/>
      <c r="C109" s="324"/>
      <c r="D109" s="323" t="str">
        <f t="shared" si="1"/>
        <v/>
      </c>
    </row>
    <row r="110" spans="1:4">
      <c r="A110" s="324"/>
      <c r="B110" s="324"/>
      <c r="C110" s="324"/>
      <c r="D110" s="323" t="str">
        <f t="shared" si="1"/>
        <v/>
      </c>
    </row>
    <row r="111" spans="1:4">
      <c r="A111" s="324"/>
      <c r="B111" s="324"/>
      <c r="C111" s="324"/>
      <c r="D111" s="323" t="str">
        <f t="shared" si="1"/>
        <v/>
      </c>
    </row>
    <row r="112" spans="1:4">
      <c r="A112" s="324"/>
      <c r="B112" s="324"/>
      <c r="C112" s="324"/>
      <c r="D112" s="323" t="str">
        <f t="shared" si="1"/>
        <v/>
      </c>
    </row>
    <row r="113" spans="1:4">
      <c r="A113" s="324"/>
      <c r="B113" s="324"/>
      <c r="C113" s="324"/>
      <c r="D113" s="323" t="str">
        <f t="shared" si="1"/>
        <v/>
      </c>
    </row>
    <row r="114" spans="1:4">
      <c r="A114" s="324"/>
      <c r="B114" s="324"/>
      <c r="C114" s="324"/>
      <c r="D114" s="323" t="str">
        <f t="shared" si="1"/>
        <v/>
      </c>
    </row>
    <row r="115" spans="1:4">
      <c r="A115" s="324"/>
      <c r="B115" s="324"/>
      <c r="C115" s="324"/>
      <c r="D115" s="323" t="str">
        <f t="shared" si="1"/>
        <v/>
      </c>
    </row>
    <row r="116" spans="1:4">
      <c r="A116" s="324"/>
      <c r="B116" s="324"/>
      <c r="C116" s="324"/>
      <c r="D116" s="323" t="str">
        <f t="shared" si="1"/>
        <v/>
      </c>
    </row>
    <row r="117" spans="1:4">
      <c r="A117" s="324"/>
      <c r="B117" s="324"/>
      <c r="C117" s="324"/>
      <c r="D117" s="323" t="str">
        <f t="shared" si="1"/>
        <v/>
      </c>
    </row>
    <row r="118" spans="1:4">
      <c r="A118" s="324"/>
      <c r="B118" s="324"/>
      <c r="C118" s="324"/>
      <c r="D118" s="323" t="str">
        <f t="shared" si="1"/>
        <v/>
      </c>
    </row>
    <row r="119" spans="1:4">
      <c r="A119" s="324"/>
      <c r="B119" s="324"/>
      <c r="C119" s="324"/>
      <c r="D119" s="323" t="str">
        <f t="shared" si="1"/>
        <v/>
      </c>
    </row>
    <row r="120" spans="1:4">
      <c r="A120" s="324"/>
      <c r="B120" s="324"/>
      <c r="C120" s="324"/>
      <c r="D120" s="323" t="str">
        <f t="shared" si="1"/>
        <v/>
      </c>
    </row>
    <row r="121" spans="1:4">
      <c r="A121" s="324"/>
      <c r="B121" s="324"/>
      <c r="C121" s="324"/>
      <c r="D121" s="323" t="str">
        <f t="shared" si="1"/>
        <v/>
      </c>
    </row>
    <row r="122" spans="1:4">
      <c r="A122" s="324"/>
      <c r="B122" s="324"/>
      <c r="C122" s="324"/>
      <c r="D122" s="323" t="str">
        <f t="shared" si="1"/>
        <v/>
      </c>
    </row>
    <row r="123" spans="1:4">
      <c r="A123" s="324"/>
      <c r="B123" s="324"/>
      <c r="C123" s="324"/>
      <c r="D123" s="323" t="str">
        <f t="shared" si="1"/>
        <v/>
      </c>
    </row>
    <row r="124" spans="1:4">
      <c r="A124" s="324"/>
      <c r="B124" s="324"/>
      <c r="C124" s="324"/>
      <c r="D124" s="323" t="str">
        <f t="shared" si="1"/>
        <v/>
      </c>
    </row>
    <row r="125" spans="1:4">
      <c r="A125" s="324"/>
      <c r="B125" s="324"/>
      <c r="C125" s="324"/>
      <c r="D125" s="323" t="str">
        <f t="shared" si="1"/>
        <v/>
      </c>
    </row>
    <row r="126" spans="1:4">
      <c r="A126" s="324"/>
      <c r="B126" s="324"/>
      <c r="C126" s="324"/>
      <c r="D126" s="323" t="str">
        <f t="shared" si="1"/>
        <v/>
      </c>
    </row>
    <row r="127" spans="1:4">
      <c r="A127" s="324"/>
      <c r="B127" s="324"/>
      <c r="C127" s="324"/>
      <c r="D127" s="323" t="str">
        <f t="shared" si="1"/>
        <v/>
      </c>
    </row>
    <row r="128" spans="1:4">
      <c r="A128" s="324"/>
      <c r="B128" s="324"/>
      <c r="C128" s="324"/>
      <c r="D128" s="323" t="str">
        <f t="shared" si="1"/>
        <v/>
      </c>
    </row>
    <row r="129" spans="1:4">
      <c r="A129" s="324"/>
      <c r="B129" s="324"/>
      <c r="C129" s="324"/>
      <c r="D129" s="323" t="str">
        <f t="shared" si="1"/>
        <v/>
      </c>
    </row>
    <row r="130" spans="1:4">
      <c r="A130" s="324"/>
      <c r="B130" s="324"/>
      <c r="C130" s="324"/>
      <c r="D130" s="323" t="str">
        <f t="shared" si="1"/>
        <v/>
      </c>
    </row>
    <row r="131" spans="1:4">
      <c r="A131" s="324"/>
      <c r="B131" s="324"/>
      <c r="C131" s="324"/>
      <c r="D131" s="323" t="str">
        <f t="shared" ref="D131:D194" si="2">IF(OR(A131="",B131=""),"",A131&amp;"："&amp;B131)</f>
        <v/>
      </c>
    </row>
    <row r="132" spans="1:4">
      <c r="A132" s="324"/>
      <c r="B132" s="324"/>
      <c r="C132" s="324"/>
      <c r="D132" s="323" t="str">
        <f t="shared" si="2"/>
        <v/>
      </c>
    </row>
    <row r="133" spans="1:4">
      <c r="A133" s="324"/>
      <c r="B133" s="324"/>
      <c r="C133" s="324"/>
      <c r="D133" s="323" t="str">
        <f t="shared" si="2"/>
        <v/>
      </c>
    </row>
    <row r="134" spans="1:4">
      <c r="A134" s="324"/>
      <c r="B134" s="324"/>
      <c r="C134" s="324"/>
      <c r="D134" s="323" t="str">
        <f t="shared" si="2"/>
        <v/>
      </c>
    </row>
    <row r="135" spans="1:4">
      <c r="A135" s="324"/>
      <c r="B135" s="324"/>
      <c r="C135" s="324"/>
      <c r="D135" s="323" t="str">
        <f t="shared" si="2"/>
        <v/>
      </c>
    </row>
    <row r="136" spans="1:4">
      <c r="A136" s="324"/>
      <c r="B136" s="324"/>
      <c r="C136" s="324"/>
      <c r="D136" s="323" t="str">
        <f t="shared" si="2"/>
        <v/>
      </c>
    </row>
    <row r="137" spans="1:4">
      <c r="A137" s="324"/>
      <c r="B137" s="324"/>
      <c r="C137" s="324"/>
      <c r="D137" s="323" t="str">
        <f t="shared" si="2"/>
        <v/>
      </c>
    </row>
    <row r="138" spans="1:4">
      <c r="A138" s="324"/>
      <c r="B138" s="324"/>
      <c r="C138" s="324"/>
      <c r="D138" s="323" t="str">
        <f t="shared" si="2"/>
        <v/>
      </c>
    </row>
    <row r="139" spans="1:4">
      <c r="A139" s="324"/>
      <c r="B139" s="324"/>
      <c r="C139" s="324"/>
      <c r="D139" s="323" t="str">
        <f t="shared" si="2"/>
        <v/>
      </c>
    </row>
    <row r="140" spans="1:4">
      <c r="A140" s="324"/>
      <c r="B140" s="324"/>
      <c r="C140" s="324"/>
      <c r="D140" s="323" t="str">
        <f t="shared" si="2"/>
        <v/>
      </c>
    </row>
    <row r="141" spans="1:4">
      <c r="A141" s="324"/>
      <c r="B141" s="324"/>
      <c r="C141" s="324"/>
      <c r="D141" s="323" t="str">
        <f t="shared" si="2"/>
        <v/>
      </c>
    </row>
    <row r="142" spans="1:4">
      <c r="A142" s="324"/>
      <c r="B142" s="324"/>
      <c r="C142" s="324"/>
      <c r="D142" s="323" t="str">
        <f t="shared" si="2"/>
        <v/>
      </c>
    </row>
    <row r="143" spans="1:4">
      <c r="A143" s="324"/>
      <c r="B143" s="324"/>
      <c r="C143" s="324"/>
      <c r="D143" s="323" t="str">
        <f t="shared" si="2"/>
        <v/>
      </c>
    </row>
    <row r="144" spans="1:4">
      <c r="A144" s="324"/>
      <c r="B144" s="324"/>
      <c r="C144" s="324"/>
      <c r="D144" s="323" t="str">
        <f t="shared" si="2"/>
        <v/>
      </c>
    </row>
    <row r="145" spans="1:4">
      <c r="A145" s="324"/>
      <c r="B145" s="324"/>
      <c r="C145" s="324"/>
      <c r="D145" s="323" t="str">
        <f t="shared" si="2"/>
        <v/>
      </c>
    </row>
    <row r="146" spans="1:4">
      <c r="A146" s="324"/>
      <c r="B146" s="324"/>
      <c r="C146" s="324"/>
      <c r="D146" s="323" t="str">
        <f t="shared" si="2"/>
        <v/>
      </c>
    </row>
    <row r="147" spans="1:4">
      <c r="A147" s="324"/>
      <c r="B147" s="324"/>
      <c r="C147" s="324"/>
      <c r="D147" s="323" t="str">
        <f t="shared" si="2"/>
        <v/>
      </c>
    </row>
    <row r="148" spans="1:4">
      <c r="A148" s="324"/>
      <c r="B148" s="324"/>
      <c r="C148" s="324"/>
      <c r="D148" s="323" t="str">
        <f t="shared" si="2"/>
        <v/>
      </c>
    </row>
    <row r="149" spans="1:4">
      <c r="A149" s="324"/>
      <c r="B149" s="324"/>
      <c r="C149" s="324"/>
      <c r="D149" s="323" t="str">
        <f t="shared" si="2"/>
        <v/>
      </c>
    </row>
    <row r="150" spans="1:4">
      <c r="A150" s="324"/>
      <c r="B150" s="324"/>
      <c r="C150" s="324"/>
      <c r="D150" s="323" t="str">
        <f t="shared" si="2"/>
        <v/>
      </c>
    </row>
    <row r="151" spans="1:4">
      <c r="A151" s="324"/>
      <c r="B151" s="324"/>
      <c r="C151" s="324"/>
      <c r="D151" s="323" t="str">
        <f t="shared" si="2"/>
        <v/>
      </c>
    </row>
    <row r="152" spans="1:4">
      <c r="A152" s="324"/>
      <c r="B152" s="324"/>
      <c r="C152" s="324"/>
      <c r="D152" s="323" t="str">
        <f t="shared" si="2"/>
        <v/>
      </c>
    </row>
    <row r="153" spans="1:4">
      <c r="A153" s="324"/>
      <c r="B153" s="324"/>
      <c r="C153" s="324"/>
      <c r="D153" s="323" t="str">
        <f t="shared" si="2"/>
        <v/>
      </c>
    </row>
    <row r="154" spans="1:4">
      <c r="A154" s="324"/>
      <c r="B154" s="324"/>
      <c r="C154" s="324"/>
      <c r="D154" s="323" t="str">
        <f t="shared" si="2"/>
        <v/>
      </c>
    </row>
    <row r="155" spans="1:4">
      <c r="A155" s="324"/>
      <c r="B155" s="324"/>
      <c r="C155" s="324"/>
      <c r="D155" s="323" t="str">
        <f t="shared" si="2"/>
        <v/>
      </c>
    </row>
    <row r="156" spans="1:4">
      <c r="A156" s="324"/>
      <c r="B156" s="324"/>
      <c r="C156" s="324"/>
      <c r="D156" s="323" t="str">
        <f t="shared" si="2"/>
        <v/>
      </c>
    </row>
    <row r="157" spans="1:4">
      <c r="A157" s="324"/>
      <c r="B157" s="324"/>
      <c r="C157" s="324"/>
      <c r="D157" s="323" t="str">
        <f t="shared" si="2"/>
        <v/>
      </c>
    </row>
    <row r="158" spans="1:4">
      <c r="A158" s="324"/>
      <c r="B158" s="324"/>
      <c r="C158" s="324"/>
      <c r="D158" s="323" t="str">
        <f t="shared" si="2"/>
        <v/>
      </c>
    </row>
    <row r="159" spans="1:4">
      <c r="A159" s="324"/>
      <c r="B159" s="324"/>
      <c r="C159" s="324"/>
      <c r="D159" s="323" t="str">
        <f t="shared" si="2"/>
        <v/>
      </c>
    </row>
    <row r="160" spans="1:4">
      <c r="A160" s="324"/>
      <c r="B160" s="324"/>
      <c r="C160" s="324"/>
      <c r="D160" s="323" t="str">
        <f t="shared" si="2"/>
        <v/>
      </c>
    </row>
    <row r="161" spans="1:4">
      <c r="A161" s="324"/>
      <c r="B161" s="324"/>
      <c r="C161" s="324"/>
      <c r="D161" s="323" t="str">
        <f t="shared" si="2"/>
        <v/>
      </c>
    </row>
    <row r="162" spans="1:4">
      <c r="A162" s="324"/>
      <c r="B162" s="324"/>
      <c r="C162" s="324"/>
      <c r="D162" s="323" t="str">
        <f t="shared" si="2"/>
        <v/>
      </c>
    </row>
    <row r="163" spans="1:4">
      <c r="A163" s="324"/>
      <c r="B163" s="324"/>
      <c r="C163" s="324"/>
      <c r="D163" s="323" t="str">
        <f t="shared" si="2"/>
        <v/>
      </c>
    </row>
    <row r="164" spans="1:4">
      <c r="A164" s="324"/>
      <c r="B164" s="324"/>
      <c r="C164" s="324"/>
      <c r="D164" s="323" t="str">
        <f t="shared" si="2"/>
        <v/>
      </c>
    </row>
    <row r="165" spans="1:4">
      <c r="A165" s="324"/>
      <c r="B165" s="324"/>
      <c r="C165" s="324"/>
      <c r="D165" s="323" t="str">
        <f t="shared" si="2"/>
        <v/>
      </c>
    </row>
    <row r="166" spans="1:4">
      <c r="A166" s="324"/>
      <c r="B166" s="324"/>
      <c r="C166" s="324"/>
      <c r="D166" s="323" t="str">
        <f t="shared" si="2"/>
        <v/>
      </c>
    </row>
    <row r="167" spans="1:4">
      <c r="A167" s="324"/>
      <c r="B167" s="324"/>
      <c r="C167" s="324"/>
      <c r="D167" s="323" t="str">
        <f t="shared" si="2"/>
        <v/>
      </c>
    </row>
    <row r="168" spans="1:4">
      <c r="A168" s="324"/>
      <c r="B168" s="324"/>
      <c r="C168" s="324"/>
      <c r="D168" s="323" t="str">
        <f t="shared" si="2"/>
        <v/>
      </c>
    </row>
    <row r="169" spans="1:4">
      <c r="A169" s="324"/>
      <c r="B169" s="324"/>
      <c r="C169" s="324"/>
      <c r="D169" s="323" t="str">
        <f t="shared" si="2"/>
        <v/>
      </c>
    </row>
    <row r="170" spans="1:4">
      <c r="A170" s="324"/>
      <c r="B170" s="324"/>
      <c r="C170" s="324"/>
      <c r="D170" s="323" t="str">
        <f t="shared" si="2"/>
        <v/>
      </c>
    </row>
    <row r="171" spans="1:4">
      <c r="A171" s="324"/>
      <c r="B171" s="324"/>
      <c r="C171" s="324"/>
      <c r="D171" s="323" t="str">
        <f t="shared" si="2"/>
        <v/>
      </c>
    </row>
    <row r="172" spans="1:4">
      <c r="A172" s="324"/>
      <c r="B172" s="324"/>
      <c r="C172" s="324"/>
      <c r="D172" s="323" t="str">
        <f t="shared" si="2"/>
        <v/>
      </c>
    </row>
    <row r="173" spans="1:4">
      <c r="A173" s="324"/>
      <c r="B173" s="324"/>
      <c r="C173" s="324"/>
      <c r="D173" s="323" t="str">
        <f t="shared" si="2"/>
        <v/>
      </c>
    </row>
    <row r="174" spans="1:4">
      <c r="A174" s="324"/>
      <c r="B174" s="324"/>
      <c r="C174" s="324"/>
      <c r="D174" s="323" t="str">
        <f t="shared" si="2"/>
        <v/>
      </c>
    </row>
    <row r="175" spans="1:4">
      <c r="A175" s="324"/>
      <c r="B175" s="324"/>
      <c r="C175" s="324"/>
      <c r="D175" s="323" t="str">
        <f t="shared" si="2"/>
        <v/>
      </c>
    </row>
    <row r="176" spans="1:4">
      <c r="A176" s="324"/>
      <c r="B176" s="324"/>
      <c r="C176" s="324"/>
      <c r="D176" s="323" t="str">
        <f t="shared" si="2"/>
        <v/>
      </c>
    </row>
    <row r="177" spans="1:4">
      <c r="A177" s="324"/>
      <c r="B177" s="324"/>
      <c r="C177" s="324"/>
      <c r="D177" s="323" t="str">
        <f t="shared" si="2"/>
        <v/>
      </c>
    </row>
    <row r="178" spans="1:4">
      <c r="A178" s="324"/>
      <c r="B178" s="324"/>
      <c r="C178" s="324"/>
      <c r="D178" s="323" t="str">
        <f t="shared" si="2"/>
        <v/>
      </c>
    </row>
    <row r="179" spans="1:4">
      <c r="A179" s="324"/>
      <c r="B179" s="324"/>
      <c r="C179" s="324"/>
      <c r="D179" s="323" t="str">
        <f t="shared" si="2"/>
        <v/>
      </c>
    </row>
    <row r="180" spans="1:4">
      <c r="A180" s="324"/>
      <c r="B180" s="324"/>
      <c r="C180" s="324"/>
      <c r="D180" s="323" t="str">
        <f t="shared" si="2"/>
        <v/>
      </c>
    </row>
    <row r="181" spans="1:4">
      <c r="A181" s="324"/>
      <c r="B181" s="324"/>
      <c r="C181" s="324"/>
      <c r="D181" s="323" t="str">
        <f t="shared" si="2"/>
        <v/>
      </c>
    </row>
    <row r="182" spans="1:4">
      <c r="A182" s="324"/>
      <c r="B182" s="324"/>
      <c r="C182" s="324"/>
      <c r="D182" s="323" t="str">
        <f t="shared" si="2"/>
        <v/>
      </c>
    </row>
    <row r="183" spans="1:4">
      <c r="A183" s="324"/>
      <c r="B183" s="324"/>
      <c r="C183" s="324"/>
      <c r="D183" s="323" t="str">
        <f t="shared" si="2"/>
        <v/>
      </c>
    </row>
    <row r="184" spans="1:4">
      <c r="A184" s="324"/>
      <c r="B184" s="324"/>
      <c r="C184" s="324"/>
      <c r="D184" s="323" t="str">
        <f t="shared" si="2"/>
        <v/>
      </c>
    </row>
    <row r="185" spans="1:4">
      <c r="A185" s="324"/>
      <c r="B185" s="324"/>
      <c r="C185" s="324"/>
      <c r="D185" s="323" t="str">
        <f t="shared" si="2"/>
        <v/>
      </c>
    </row>
    <row r="186" spans="1:4">
      <c r="A186" s="324"/>
      <c r="B186" s="324"/>
      <c r="C186" s="324"/>
      <c r="D186" s="323" t="str">
        <f t="shared" si="2"/>
        <v/>
      </c>
    </row>
    <row r="187" spans="1:4">
      <c r="A187" s="324"/>
      <c r="B187" s="324"/>
      <c r="C187" s="324"/>
      <c r="D187" s="323" t="str">
        <f t="shared" si="2"/>
        <v/>
      </c>
    </row>
    <row r="188" spans="1:4">
      <c r="A188" s="324"/>
      <c r="B188" s="324"/>
      <c r="C188" s="324"/>
      <c r="D188" s="323" t="str">
        <f t="shared" si="2"/>
        <v/>
      </c>
    </row>
    <row r="189" spans="1:4">
      <c r="A189" s="324"/>
      <c r="B189" s="324"/>
      <c r="C189" s="324"/>
      <c r="D189" s="323" t="str">
        <f t="shared" si="2"/>
        <v/>
      </c>
    </row>
    <row r="190" spans="1:4">
      <c r="A190" s="324"/>
      <c r="B190" s="324"/>
      <c r="C190" s="324"/>
      <c r="D190" s="323" t="str">
        <f t="shared" si="2"/>
        <v/>
      </c>
    </row>
    <row r="191" spans="1:4">
      <c r="A191" s="324"/>
      <c r="B191" s="324"/>
      <c r="C191" s="324"/>
      <c r="D191" s="323" t="str">
        <f t="shared" si="2"/>
        <v/>
      </c>
    </row>
    <row r="192" spans="1:4">
      <c r="A192" s="324"/>
      <c r="B192" s="324"/>
      <c r="C192" s="324"/>
      <c r="D192" s="323" t="str">
        <f t="shared" si="2"/>
        <v/>
      </c>
    </row>
    <row r="193" spans="1:4">
      <c r="A193" s="324"/>
      <c r="B193" s="324"/>
      <c r="C193" s="324"/>
      <c r="D193" s="323" t="str">
        <f t="shared" si="2"/>
        <v/>
      </c>
    </row>
    <row r="194" spans="1:4">
      <c r="A194" s="324"/>
      <c r="B194" s="324"/>
      <c r="C194" s="324"/>
      <c r="D194" s="323" t="str">
        <f t="shared" si="2"/>
        <v/>
      </c>
    </row>
    <row r="195" spans="1:4">
      <c r="A195" s="324"/>
      <c r="B195" s="324"/>
      <c r="C195" s="324"/>
      <c r="D195" s="323" t="str">
        <f t="shared" ref="D195:D258" si="3">IF(OR(A195="",B195=""),"",A195&amp;"："&amp;B195)</f>
        <v/>
      </c>
    </row>
    <row r="196" spans="1:4">
      <c r="A196" s="324"/>
      <c r="B196" s="324"/>
      <c r="C196" s="324"/>
      <c r="D196" s="323" t="str">
        <f t="shared" si="3"/>
        <v/>
      </c>
    </row>
    <row r="197" spans="1:4">
      <c r="A197" s="324"/>
      <c r="B197" s="324"/>
      <c r="C197" s="324"/>
      <c r="D197" s="323" t="str">
        <f t="shared" si="3"/>
        <v/>
      </c>
    </row>
    <row r="198" spans="1:4">
      <c r="A198" s="324"/>
      <c r="B198" s="324"/>
      <c r="C198" s="324"/>
      <c r="D198" s="323" t="str">
        <f t="shared" si="3"/>
        <v/>
      </c>
    </row>
    <row r="199" spans="1:4">
      <c r="A199" s="324"/>
      <c r="B199" s="324"/>
      <c r="C199" s="324"/>
      <c r="D199" s="323" t="str">
        <f t="shared" si="3"/>
        <v/>
      </c>
    </row>
    <row r="200" spans="1:4">
      <c r="A200" s="324"/>
      <c r="B200" s="324"/>
      <c r="C200" s="324"/>
      <c r="D200" s="323" t="str">
        <f t="shared" si="3"/>
        <v/>
      </c>
    </row>
    <row r="201" spans="1:4">
      <c r="A201" s="324"/>
      <c r="B201" s="324"/>
      <c r="C201" s="324"/>
      <c r="D201" s="323" t="str">
        <f t="shared" si="3"/>
        <v/>
      </c>
    </row>
    <row r="202" spans="1:4">
      <c r="A202" s="324"/>
      <c r="B202" s="324"/>
      <c r="C202" s="324"/>
      <c r="D202" s="323" t="str">
        <f t="shared" si="3"/>
        <v/>
      </c>
    </row>
    <row r="203" spans="1:4">
      <c r="A203" s="324"/>
      <c r="B203" s="324"/>
      <c r="C203" s="324"/>
      <c r="D203" s="323" t="str">
        <f t="shared" si="3"/>
        <v/>
      </c>
    </row>
    <row r="204" spans="1:4">
      <c r="A204" s="324"/>
      <c r="B204" s="324"/>
      <c r="C204" s="324"/>
      <c r="D204" s="323" t="str">
        <f t="shared" si="3"/>
        <v/>
      </c>
    </row>
    <row r="205" spans="1:4">
      <c r="A205" s="324"/>
      <c r="B205" s="324"/>
      <c r="C205" s="324"/>
      <c r="D205" s="323" t="str">
        <f t="shared" si="3"/>
        <v/>
      </c>
    </row>
    <row r="206" spans="1:4">
      <c r="A206" s="324"/>
      <c r="B206" s="324"/>
      <c r="C206" s="324"/>
      <c r="D206" s="323" t="str">
        <f t="shared" si="3"/>
        <v/>
      </c>
    </row>
    <row r="207" spans="1:4">
      <c r="A207" s="324"/>
      <c r="B207" s="324"/>
      <c r="C207" s="324"/>
      <c r="D207" s="323" t="str">
        <f t="shared" si="3"/>
        <v/>
      </c>
    </row>
    <row r="208" spans="1:4">
      <c r="A208" s="324"/>
      <c r="B208" s="324"/>
      <c r="C208" s="324"/>
      <c r="D208" s="323" t="str">
        <f t="shared" si="3"/>
        <v/>
      </c>
    </row>
    <row r="209" spans="1:4">
      <c r="A209" s="324"/>
      <c r="B209" s="324"/>
      <c r="C209" s="324"/>
      <c r="D209" s="323" t="str">
        <f t="shared" si="3"/>
        <v/>
      </c>
    </row>
    <row r="210" spans="1:4">
      <c r="A210" s="324"/>
      <c r="B210" s="324"/>
      <c r="C210" s="324"/>
      <c r="D210" s="323" t="str">
        <f t="shared" si="3"/>
        <v/>
      </c>
    </row>
    <row r="211" spans="1:4">
      <c r="A211" s="324"/>
      <c r="B211" s="324"/>
      <c r="C211" s="324"/>
      <c r="D211" s="323" t="str">
        <f t="shared" si="3"/>
        <v/>
      </c>
    </row>
    <row r="212" spans="1:4">
      <c r="A212" s="324"/>
      <c r="B212" s="324"/>
      <c r="C212" s="324"/>
      <c r="D212" s="323" t="str">
        <f t="shared" si="3"/>
        <v/>
      </c>
    </row>
    <row r="213" spans="1:4">
      <c r="A213" s="324"/>
      <c r="B213" s="324"/>
      <c r="C213" s="324"/>
      <c r="D213" s="323" t="str">
        <f t="shared" si="3"/>
        <v/>
      </c>
    </row>
    <row r="214" spans="1:4">
      <c r="A214" s="324"/>
      <c r="B214" s="324"/>
      <c r="C214" s="324"/>
      <c r="D214" s="323" t="str">
        <f t="shared" si="3"/>
        <v/>
      </c>
    </row>
    <row r="215" spans="1:4">
      <c r="A215" s="324"/>
      <c r="B215" s="324"/>
      <c r="C215" s="324"/>
      <c r="D215" s="323" t="str">
        <f t="shared" si="3"/>
        <v/>
      </c>
    </row>
    <row r="216" spans="1:4">
      <c r="A216" s="324"/>
      <c r="B216" s="324"/>
      <c r="C216" s="324"/>
      <c r="D216" s="323" t="str">
        <f t="shared" si="3"/>
        <v/>
      </c>
    </row>
    <row r="217" spans="1:4">
      <c r="A217" s="324"/>
      <c r="B217" s="324"/>
      <c r="C217" s="324"/>
      <c r="D217" s="323" t="str">
        <f t="shared" si="3"/>
        <v/>
      </c>
    </row>
    <row r="218" spans="1:4">
      <c r="A218" s="324"/>
      <c r="B218" s="324"/>
      <c r="C218" s="324"/>
      <c r="D218" s="323" t="str">
        <f t="shared" si="3"/>
        <v/>
      </c>
    </row>
    <row r="219" spans="1:4">
      <c r="A219" s="324"/>
      <c r="B219" s="324"/>
      <c r="C219" s="324"/>
      <c r="D219" s="323" t="str">
        <f t="shared" si="3"/>
        <v/>
      </c>
    </row>
    <row r="220" spans="1:4">
      <c r="A220" s="324"/>
      <c r="B220" s="324"/>
      <c r="C220" s="324"/>
      <c r="D220" s="323" t="str">
        <f t="shared" si="3"/>
        <v/>
      </c>
    </row>
    <row r="221" spans="1:4">
      <c r="A221" s="324"/>
      <c r="B221" s="324"/>
      <c r="C221" s="324"/>
      <c r="D221" s="323" t="str">
        <f t="shared" si="3"/>
        <v/>
      </c>
    </row>
    <row r="222" spans="1:4">
      <c r="A222" s="324"/>
      <c r="B222" s="324"/>
      <c r="C222" s="324"/>
      <c r="D222" s="323" t="str">
        <f t="shared" si="3"/>
        <v/>
      </c>
    </row>
    <row r="223" spans="1:4">
      <c r="A223" s="324"/>
      <c r="B223" s="324"/>
      <c r="C223" s="324"/>
      <c r="D223" s="323" t="str">
        <f t="shared" si="3"/>
        <v/>
      </c>
    </row>
    <row r="224" spans="1:4">
      <c r="A224" s="324"/>
      <c r="B224" s="324"/>
      <c r="C224" s="324"/>
      <c r="D224" s="323" t="str">
        <f t="shared" si="3"/>
        <v/>
      </c>
    </row>
    <row r="225" spans="1:4">
      <c r="A225" s="324"/>
      <c r="B225" s="324"/>
      <c r="C225" s="324"/>
      <c r="D225" s="323" t="str">
        <f t="shared" si="3"/>
        <v/>
      </c>
    </row>
    <row r="226" spans="1:4">
      <c r="A226" s="324"/>
      <c r="B226" s="324"/>
      <c r="C226" s="324"/>
      <c r="D226" s="323" t="str">
        <f t="shared" si="3"/>
        <v/>
      </c>
    </row>
    <row r="227" spans="1:4">
      <c r="A227" s="324"/>
      <c r="B227" s="324"/>
      <c r="C227" s="324"/>
      <c r="D227" s="323" t="str">
        <f t="shared" si="3"/>
        <v/>
      </c>
    </row>
    <row r="228" spans="1:4">
      <c r="A228" s="324"/>
      <c r="B228" s="324"/>
      <c r="C228" s="324"/>
      <c r="D228" s="323" t="str">
        <f t="shared" si="3"/>
        <v/>
      </c>
    </row>
    <row r="229" spans="1:4">
      <c r="A229" s="324"/>
      <c r="B229" s="324"/>
      <c r="C229" s="324"/>
      <c r="D229" s="323" t="str">
        <f t="shared" si="3"/>
        <v/>
      </c>
    </row>
    <row r="230" spans="1:4">
      <c r="A230" s="324"/>
      <c r="B230" s="324"/>
      <c r="C230" s="324"/>
      <c r="D230" s="323" t="str">
        <f t="shared" si="3"/>
        <v/>
      </c>
    </row>
    <row r="231" spans="1:4">
      <c r="A231" s="324"/>
      <c r="B231" s="324"/>
      <c r="C231" s="324"/>
      <c r="D231" s="323" t="str">
        <f t="shared" si="3"/>
        <v/>
      </c>
    </row>
    <row r="232" spans="1:4">
      <c r="A232" s="324"/>
      <c r="B232" s="324"/>
      <c r="C232" s="324"/>
      <c r="D232" s="323" t="str">
        <f t="shared" si="3"/>
        <v/>
      </c>
    </row>
    <row r="233" spans="1:4">
      <c r="A233" s="324"/>
      <c r="B233" s="324"/>
      <c r="C233" s="324"/>
      <c r="D233" s="323" t="str">
        <f t="shared" si="3"/>
        <v/>
      </c>
    </row>
    <row r="234" spans="1:4">
      <c r="A234" s="324"/>
      <c r="B234" s="324"/>
      <c r="C234" s="324"/>
      <c r="D234" s="323" t="str">
        <f t="shared" si="3"/>
        <v/>
      </c>
    </row>
    <row r="235" spans="1:4">
      <c r="A235" s="324"/>
      <c r="B235" s="324"/>
      <c r="C235" s="324"/>
      <c r="D235" s="323" t="str">
        <f t="shared" si="3"/>
        <v/>
      </c>
    </row>
    <row r="236" spans="1:4">
      <c r="A236" s="324"/>
      <c r="B236" s="324"/>
      <c r="C236" s="324"/>
      <c r="D236" s="323" t="str">
        <f t="shared" si="3"/>
        <v/>
      </c>
    </row>
    <row r="237" spans="1:4">
      <c r="A237" s="324"/>
      <c r="B237" s="324"/>
      <c r="C237" s="324"/>
      <c r="D237" s="323" t="str">
        <f t="shared" si="3"/>
        <v/>
      </c>
    </row>
    <row r="238" spans="1:4">
      <c r="A238" s="324"/>
      <c r="B238" s="324"/>
      <c r="C238" s="324"/>
      <c r="D238" s="323" t="str">
        <f t="shared" si="3"/>
        <v/>
      </c>
    </row>
    <row r="239" spans="1:4">
      <c r="A239" s="324"/>
      <c r="B239" s="324"/>
      <c r="C239" s="324"/>
      <c r="D239" s="323" t="str">
        <f t="shared" si="3"/>
        <v/>
      </c>
    </row>
    <row r="240" spans="1:4">
      <c r="A240" s="324"/>
      <c r="B240" s="324"/>
      <c r="C240" s="324"/>
      <c r="D240" s="323" t="str">
        <f t="shared" si="3"/>
        <v/>
      </c>
    </row>
    <row r="241" spans="1:4">
      <c r="A241" s="324"/>
      <c r="B241" s="324"/>
      <c r="C241" s="324"/>
      <c r="D241" s="323" t="str">
        <f t="shared" si="3"/>
        <v/>
      </c>
    </row>
    <row r="242" spans="1:4">
      <c r="A242" s="324"/>
      <c r="B242" s="324"/>
      <c r="C242" s="324"/>
      <c r="D242" s="323" t="str">
        <f t="shared" si="3"/>
        <v/>
      </c>
    </row>
    <row r="243" spans="1:4">
      <c r="A243" s="324"/>
      <c r="B243" s="324"/>
      <c r="C243" s="324"/>
      <c r="D243" s="323" t="str">
        <f t="shared" si="3"/>
        <v/>
      </c>
    </row>
    <row r="244" spans="1:4">
      <c r="A244" s="324"/>
      <c r="B244" s="324"/>
      <c r="C244" s="324"/>
      <c r="D244" s="323" t="str">
        <f t="shared" si="3"/>
        <v/>
      </c>
    </row>
    <row r="245" spans="1:4">
      <c r="A245" s="324"/>
      <c r="B245" s="324"/>
      <c r="C245" s="324"/>
      <c r="D245" s="323" t="str">
        <f t="shared" si="3"/>
        <v/>
      </c>
    </row>
    <row r="246" spans="1:4">
      <c r="A246" s="324"/>
      <c r="B246" s="324"/>
      <c r="C246" s="324"/>
      <c r="D246" s="323" t="str">
        <f t="shared" si="3"/>
        <v/>
      </c>
    </row>
    <row r="247" spans="1:4">
      <c r="A247" s="324"/>
      <c r="B247" s="324"/>
      <c r="C247" s="324"/>
      <c r="D247" s="323" t="str">
        <f t="shared" si="3"/>
        <v/>
      </c>
    </row>
    <row r="248" spans="1:4">
      <c r="A248" s="324"/>
      <c r="B248" s="324"/>
      <c r="C248" s="324"/>
      <c r="D248" s="323" t="str">
        <f t="shared" si="3"/>
        <v/>
      </c>
    </row>
    <row r="249" spans="1:4">
      <c r="A249" s="324"/>
      <c r="B249" s="324"/>
      <c r="C249" s="324"/>
      <c r="D249" s="323" t="str">
        <f t="shared" si="3"/>
        <v/>
      </c>
    </row>
    <row r="250" spans="1:4">
      <c r="A250" s="324"/>
      <c r="B250" s="324"/>
      <c r="C250" s="324"/>
      <c r="D250" s="323" t="str">
        <f t="shared" si="3"/>
        <v/>
      </c>
    </row>
    <row r="251" spans="1:4">
      <c r="A251" s="324"/>
      <c r="B251" s="324"/>
      <c r="C251" s="324"/>
      <c r="D251" s="323" t="str">
        <f t="shared" si="3"/>
        <v/>
      </c>
    </row>
    <row r="252" spans="1:4">
      <c r="A252" s="324"/>
      <c r="B252" s="324"/>
      <c r="C252" s="324"/>
      <c r="D252" s="323" t="str">
        <f t="shared" si="3"/>
        <v/>
      </c>
    </row>
    <row r="253" spans="1:4">
      <c r="A253" s="324"/>
      <c r="B253" s="324"/>
      <c r="C253" s="324"/>
      <c r="D253" s="323" t="str">
        <f t="shared" si="3"/>
        <v/>
      </c>
    </row>
    <row r="254" spans="1:4">
      <c r="A254" s="324"/>
      <c r="B254" s="324"/>
      <c r="C254" s="324"/>
      <c r="D254" s="323" t="str">
        <f t="shared" si="3"/>
        <v/>
      </c>
    </row>
    <row r="255" spans="1:4">
      <c r="A255" s="324"/>
      <c r="B255" s="324"/>
      <c r="C255" s="324"/>
      <c r="D255" s="323" t="str">
        <f t="shared" si="3"/>
        <v/>
      </c>
    </row>
    <row r="256" spans="1:4">
      <c r="A256" s="324"/>
      <c r="B256" s="324"/>
      <c r="C256" s="324"/>
      <c r="D256" s="323" t="str">
        <f t="shared" si="3"/>
        <v/>
      </c>
    </row>
    <row r="257" spans="1:4">
      <c r="A257" s="324"/>
      <c r="B257" s="324"/>
      <c r="C257" s="324"/>
      <c r="D257" s="323" t="str">
        <f t="shared" si="3"/>
        <v/>
      </c>
    </row>
    <row r="258" spans="1:4">
      <c r="A258" s="324"/>
      <c r="B258" s="324"/>
      <c r="C258" s="324"/>
      <c r="D258" s="323" t="str">
        <f t="shared" si="3"/>
        <v/>
      </c>
    </row>
    <row r="259" spans="1:4">
      <c r="A259" s="324"/>
      <c r="B259" s="324"/>
      <c r="C259" s="324"/>
      <c r="D259" s="323" t="str">
        <f t="shared" ref="D259:D322" si="4">IF(OR(A259="",B259=""),"",A259&amp;"："&amp;B259)</f>
        <v/>
      </c>
    </row>
    <row r="260" spans="1:4">
      <c r="A260" s="324"/>
      <c r="B260" s="324"/>
      <c r="C260" s="324"/>
      <c r="D260" s="323" t="str">
        <f t="shared" si="4"/>
        <v/>
      </c>
    </row>
    <row r="261" spans="1:4">
      <c r="A261" s="324"/>
      <c r="B261" s="324"/>
      <c r="C261" s="324"/>
      <c r="D261" s="323" t="str">
        <f t="shared" si="4"/>
        <v/>
      </c>
    </row>
    <row r="262" spans="1:4">
      <c r="A262" s="324"/>
      <c r="B262" s="324"/>
      <c r="C262" s="324"/>
      <c r="D262" s="323" t="str">
        <f t="shared" si="4"/>
        <v/>
      </c>
    </row>
    <row r="263" spans="1:4">
      <c r="A263" s="324"/>
      <c r="B263" s="324"/>
      <c r="C263" s="324"/>
      <c r="D263" s="323" t="str">
        <f t="shared" si="4"/>
        <v/>
      </c>
    </row>
    <row r="264" spans="1:4">
      <c r="A264" s="324"/>
      <c r="B264" s="324"/>
      <c r="C264" s="324"/>
      <c r="D264" s="323" t="str">
        <f t="shared" si="4"/>
        <v/>
      </c>
    </row>
    <row r="265" spans="1:4">
      <c r="A265" s="324"/>
      <c r="B265" s="324"/>
      <c r="C265" s="324"/>
      <c r="D265" s="323" t="str">
        <f t="shared" si="4"/>
        <v/>
      </c>
    </row>
    <row r="266" spans="1:4">
      <c r="A266" s="324"/>
      <c r="B266" s="324"/>
      <c r="C266" s="324"/>
      <c r="D266" s="323" t="str">
        <f t="shared" si="4"/>
        <v/>
      </c>
    </row>
    <row r="267" spans="1:4">
      <c r="A267" s="324"/>
      <c r="B267" s="324"/>
      <c r="C267" s="324"/>
      <c r="D267" s="323" t="str">
        <f t="shared" si="4"/>
        <v/>
      </c>
    </row>
    <row r="268" spans="1:4">
      <c r="A268" s="324"/>
      <c r="B268" s="324"/>
      <c r="C268" s="324"/>
      <c r="D268" s="323" t="str">
        <f t="shared" si="4"/>
        <v/>
      </c>
    </row>
    <row r="269" spans="1:4">
      <c r="A269" s="324"/>
      <c r="B269" s="324"/>
      <c r="C269" s="324"/>
      <c r="D269" s="323" t="str">
        <f t="shared" si="4"/>
        <v/>
      </c>
    </row>
    <row r="270" spans="1:4">
      <c r="A270" s="324"/>
      <c r="B270" s="324"/>
      <c r="C270" s="324"/>
      <c r="D270" s="323" t="str">
        <f t="shared" si="4"/>
        <v/>
      </c>
    </row>
    <row r="271" spans="1:4">
      <c r="A271" s="324"/>
      <c r="B271" s="324"/>
      <c r="C271" s="324"/>
      <c r="D271" s="323" t="str">
        <f t="shared" si="4"/>
        <v/>
      </c>
    </row>
    <row r="272" spans="1:4">
      <c r="A272" s="324"/>
      <c r="B272" s="324"/>
      <c r="C272" s="324"/>
      <c r="D272" s="323" t="str">
        <f t="shared" si="4"/>
        <v/>
      </c>
    </row>
    <row r="273" spans="1:4">
      <c r="A273" s="324"/>
      <c r="B273" s="324"/>
      <c r="C273" s="324"/>
      <c r="D273" s="323" t="str">
        <f t="shared" si="4"/>
        <v/>
      </c>
    </row>
    <row r="274" spans="1:4">
      <c r="A274" s="324"/>
      <c r="B274" s="324"/>
      <c r="C274" s="324"/>
      <c r="D274" s="323" t="str">
        <f t="shared" si="4"/>
        <v/>
      </c>
    </row>
    <row r="275" spans="1:4">
      <c r="A275" s="324"/>
      <c r="B275" s="324"/>
      <c r="C275" s="324"/>
      <c r="D275" s="323" t="str">
        <f t="shared" si="4"/>
        <v/>
      </c>
    </row>
    <row r="276" spans="1:4">
      <c r="A276" s="324"/>
      <c r="B276" s="324"/>
      <c r="C276" s="324"/>
      <c r="D276" s="323" t="str">
        <f t="shared" si="4"/>
        <v/>
      </c>
    </row>
    <row r="277" spans="1:4">
      <c r="A277" s="324"/>
      <c r="B277" s="324"/>
      <c r="C277" s="324"/>
      <c r="D277" s="323" t="str">
        <f t="shared" si="4"/>
        <v/>
      </c>
    </row>
    <row r="278" spans="1:4">
      <c r="A278" s="324"/>
      <c r="B278" s="324"/>
      <c r="C278" s="324"/>
      <c r="D278" s="323" t="str">
        <f t="shared" si="4"/>
        <v/>
      </c>
    </row>
    <row r="279" spans="1:4">
      <c r="A279" s="324"/>
      <c r="B279" s="324"/>
      <c r="C279" s="324"/>
      <c r="D279" s="323" t="str">
        <f t="shared" si="4"/>
        <v/>
      </c>
    </row>
    <row r="280" spans="1:4">
      <c r="A280" s="324"/>
      <c r="B280" s="324"/>
      <c r="C280" s="324"/>
      <c r="D280" s="323" t="str">
        <f t="shared" si="4"/>
        <v/>
      </c>
    </row>
    <row r="281" spans="1:4">
      <c r="A281" s="324"/>
      <c r="B281" s="324"/>
      <c r="C281" s="324"/>
      <c r="D281" s="323" t="str">
        <f t="shared" si="4"/>
        <v/>
      </c>
    </row>
    <row r="282" spans="1:4">
      <c r="A282" s="324"/>
      <c r="B282" s="324"/>
      <c r="C282" s="324"/>
      <c r="D282" s="323" t="str">
        <f t="shared" si="4"/>
        <v/>
      </c>
    </row>
    <row r="283" spans="1:4">
      <c r="A283" s="324"/>
      <c r="B283" s="324"/>
      <c r="C283" s="324"/>
      <c r="D283" s="323" t="str">
        <f t="shared" si="4"/>
        <v/>
      </c>
    </row>
    <row r="284" spans="1:4">
      <c r="A284" s="324"/>
      <c r="B284" s="324"/>
      <c r="C284" s="324"/>
      <c r="D284" s="323" t="str">
        <f t="shared" si="4"/>
        <v/>
      </c>
    </row>
    <row r="285" spans="1:4">
      <c r="A285" s="324"/>
      <c r="B285" s="324"/>
      <c r="C285" s="324"/>
      <c r="D285" s="323" t="str">
        <f t="shared" si="4"/>
        <v/>
      </c>
    </row>
    <row r="286" spans="1:4">
      <c r="A286" s="324"/>
      <c r="B286" s="324"/>
      <c r="C286" s="324"/>
      <c r="D286" s="323" t="str">
        <f t="shared" si="4"/>
        <v/>
      </c>
    </row>
    <row r="287" spans="1:4">
      <c r="A287" s="324"/>
      <c r="B287" s="324"/>
      <c r="C287" s="324"/>
      <c r="D287" s="323" t="str">
        <f t="shared" si="4"/>
        <v/>
      </c>
    </row>
    <row r="288" spans="1:4">
      <c r="A288" s="324"/>
      <c r="B288" s="324"/>
      <c r="C288" s="324"/>
      <c r="D288" s="323" t="str">
        <f t="shared" si="4"/>
        <v/>
      </c>
    </row>
    <row r="289" spans="1:4">
      <c r="A289" s="324"/>
      <c r="B289" s="324"/>
      <c r="C289" s="324"/>
      <c r="D289" s="323" t="str">
        <f t="shared" si="4"/>
        <v/>
      </c>
    </row>
    <row r="290" spans="1:4">
      <c r="A290" s="324"/>
      <c r="B290" s="324"/>
      <c r="C290" s="324"/>
      <c r="D290" s="323" t="str">
        <f t="shared" si="4"/>
        <v/>
      </c>
    </row>
    <row r="291" spans="1:4">
      <c r="A291" s="324"/>
      <c r="B291" s="324"/>
      <c r="C291" s="324"/>
      <c r="D291" s="323" t="str">
        <f t="shared" si="4"/>
        <v/>
      </c>
    </row>
    <row r="292" spans="1:4">
      <c r="A292" s="324"/>
      <c r="B292" s="324"/>
      <c r="C292" s="324"/>
      <c r="D292" s="323" t="str">
        <f t="shared" si="4"/>
        <v/>
      </c>
    </row>
    <row r="293" spans="1:4">
      <c r="A293" s="324"/>
      <c r="B293" s="324"/>
      <c r="C293" s="324"/>
      <c r="D293" s="323" t="str">
        <f t="shared" si="4"/>
        <v/>
      </c>
    </row>
    <row r="294" spans="1:4">
      <c r="A294" s="324"/>
      <c r="B294" s="324"/>
      <c r="C294" s="324"/>
      <c r="D294" s="323" t="str">
        <f t="shared" si="4"/>
        <v/>
      </c>
    </row>
    <row r="295" spans="1:4">
      <c r="A295" s="324"/>
      <c r="B295" s="324"/>
      <c r="C295" s="324"/>
      <c r="D295" s="323" t="str">
        <f t="shared" si="4"/>
        <v/>
      </c>
    </row>
    <row r="296" spans="1:4">
      <c r="A296" s="324"/>
      <c r="B296" s="324"/>
      <c r="C296" s="324"/>
      <c r="D296" s="323" t="str">
        <f t="shared" si="4"/>
        <v/>
      </c>
    </row>
    <row r="297" spans="1:4">
      <c r="A297" s="324"/>
      <c r="B297" s="324"/>
      <c r="C297" s="324"/>
      <c r="D297" s="323" t="str">
        <f t="shared" si="4"/>
        <v/>
      </c>
    </row>
    <row r="298" spans="1:4">
      <c r="A298" s="324"/>
      <c r="B298" s="324"/>
      <c r="C298" s="324"/>
      <c r="D298" s="323" t="str">
        <f t="shared" si="4"/>
        <v/>
      </c>
    </row>
    <row r="299" spans="1:4">
      <c r="A299" s="324"/>
      <c r="B299" s="324"/>
      <c r="C299" s="324"/>
      <c r="D299" s="323" t="str">
        <f t="shared" si="4"/>
        <v/>
      </c>
    </row>
    <row r="300" spans="1:4">
      <c r="A300" s="324"/>
      <c r="B300" s="324"/>
      <c r="C300" s="324"/>
      <c r="D300" s="323" t="str">
        <f t="shared" si="4"/>
        <v/>
      </c>
    </row>
    <row r="301" spans="1:4">
      <c r="A301" s="324"/>
      <c r="B301" s="324"/>
      <c r="C301" s="324"/>
      <c r="D301" s="323" t="str">
        <f t="shared" si="4"/>
        <v/>
      </c>
    </row>
    <row r="302" spans="1:4">
      <c r="A302" s="324"/>
      <c r="B302" s="324"/>
      <c r="C302" s="324"/>
      <c r="D302" s="323" t="str">
        <f t="shared" si="4"/>
        <v/>
      </c>
    </row>
    <row r="303" spans="1:4">
      <c r="A303" s="324"/>
      <c r="B303" s="324"/>
      <c r="C303" s="324"/>
      <c r="D303" s="323" t="str">
        <f t="shared" si="4"/>
        <v/>
      </c>
    </row>
    <row r="304" spans="1:4">
      <c r="A304" s="324"/>
      <c r="B304" s="324"/>
      <c r="C304" s="324"/>
      <c r="D304" s="323" t="str">
        <f t="shared" si="4"/>
        <v/>
      </c>
    </row>
    <row r="305" spans="1:4">
      <c r="A305" s="324"/>
      <c r="B305" s="324"/>
      <c r="C305" s="324"/>
      <c r="D305" s="323" t="str">
        <f t="shared" si="4"/>
        <v/>
      </c>
    </row>
    <row r="306" spans="1:4">
      <c r="A306" s="324"/>
      <c r="B306" s="324"/>
      <c r="C306" s="324"/>
      <c r="D306" s="323" t="str">
        <f t="shared" si="4"/>
        <v/>
      </c>
    </row>
    <row r="307" spans="1:4">
      <c r="A307" s="324"/>
      <c r="B307" s="324"/>
      <c r="C307" s="324"/>
      <c r="D307" s="323" t="str">
        <f t="shared" si="4"/>
        <v/>
      </c>
    </row>
    <row r="308" spans="1:4">
      <c r="A308" s="324"/>
      <c r="B308" s="324"/>
      <c r="C308" s="324"/>
      <c r="D308" s="323" t="str">
        <f t="shared" si="4"/>
        <v/>
      </c>
    </row>
    <row r="309" spans="1:4">
      <c r="A309" s="324"/>
      <c r="B309" s="324"/>
      <c r="C309" s="324"/>
      <c r="D309" s="323" t="str">
        <f t="shared" si="4"/>
        <v/>
      </c>
    </row>
    <row r="310" spans="1:4">
      <c r="A310" s="324"/>
      <c r="B310" s="324"/>
      <c r="C310" s="324"/>
      <c r="D310" s="323" t="str">
        <f t="shared" si="4"/>
        <v/>
      </c>
    </row>
    <row r="311" spans="1:4">
      <c r="A311" s="324"/>
      <c r="B311" s="324"/>
      <c r="C311" s="324"/>
      <c r="D311" s="323" t="str">
        <f t="shared" si="4"/>
        <v/>
      </c>
    </row>
    <row r="312" spans="1:4">
      <c r="A312" s="324"/>
      <c r="B312" s="324"/>
      <c r="C312" s="324"/>
      <c r="D312" s="323" t="str">
        <f t="shared" si="4"/>
        <v/>
      </c>
    </row>
    <row r="313" spans="1:4">
      <c r="A313" s="324"/>
      <c r="B313" s="324"/>
      <c r="C313" s="324"/>
      <c r="D313" s="323" t="str">
        <f t="shared" si="4"/>
        <v/>
      </c>
    </row>
    <row r="314" spans="1:4">
      <c r="A314" s="324"/>
      <c r="B314" s="324"/>
      <c r="C314" s="324"/>
      <c r="D314" s="323" t="str">
        <f t="shared" si="4"/>
        <v/>
      </c>
    </row>
    <row r="315" spans="1:4">
      <c r="A315" s="324"/>
      <c r="B315" s="324"/>
      <c r="C315" s="324"/>
      <c r="D315" s="323" t="str">
        <f t="shared" si="4"/>
        <v/>
      </c>
    </row>
    <row r="316" spans="1:4">
      <c r="A316" s="324"/>
      <c r="B316" s="324"/>
      <c r="C316" s="324"/>
      <c r="D316" s="323" t="str">
        <f t="shared" si="4"/>
        <v/>
      </c>
    </row>
    <row r="317" spans="1:4">
      <c r="A317" s="324"/>
      <c r="B317" s="324"/>
      <c r="C317" s="324"/>
      <c r="D317" s="323" t="str">
        <f t="shared" si="4"/>
        <v/>
      </c>
    </row>
    <row r="318" spans="1:4">
      <c r="A318" s="324"/>
      <c r="B318" s="324"/>
      <c r="C318" s="324"/>
      <c r="D318" s="323" t="str">
        <f t="shared" si="4"/>
        <v/>
      </c>
    </row>
    <row r="319" spans="1:4">
      <c r="A319" s="324"/>
      <c r="B319" s="324"/>
      <c r="C319" s="324"/>
      <c r="D319" s="323" t="str">
        <f t="shared" si="4"/>
        <v/>
      </c>
    </row>
    <row r="320" spans="1:4">
      <c r="A320" s="324"/>
      <c r="B320" s="324"/>
      <c r="C320" s="324"/>
      <c r="D320" s="323" t="str">
        <f t="shared" si="4"/>
        <v/>
      </c>
    </row>
    <row r="321" spans="1:4">
      <c r="A321" s="324"/>
      <c r="B321" s="324"/>
      <c r="C321" s="324"/>
      <c r="D321" s="323" t="str">
        <f t="shared" si="4"/>
        <v/>
      </c>
    </row>
    <row r="322" spans="1:4">
      <c r="A322" s="324"/>
      <c r="B322" s="324"/>
      <c r="C322" s="324"/>
      <c r="D322" s="323" t="str">
        <f t="shared" si="4"/>
        <v/>
      </c>
    </row>
    <row r="323" spans="1:4">
      <c r="A323" s="324"/>
      <c r="B323" s="324"/>
      <c r="C323" s="324"/>
      <c r="D323" s="323" t="str">
        <f t="shared" ref="D323:D342" si="5">IF(OR(A323="",B323=""),"",A323&amp;"："&amp;B323)</f>
        <v/>
      </c>
    </row>
    <row r="324" spans="1:4">
      <c r="A324" s="324"/>
      <c r="B324" s="324"/>
      <c r="C324" s="324"/>
      <c r="D324" s="323" t="str">
        <f t="shared" si="5"/>
        <v/>
      </c>
    </row>
    <row r="325" spans="1:4">
      <c r="A325" s="324"/>
      <c r="B325" s="324"/>
      <c r="C325" s="324"/>
      <c r="D325" s="323" t="str">
        <f t="shared" si="5"/>
        <v/>
      </c>
    </row>
    <row r="326" spans="1:4">
      <c r="A326" s="324"/>
      <c r="B326" s="324"/>
      <c r="C326" s="324"/>
      <c r="D326" s="323" t="str">
        <f t="shared" si="5"/>
        <v/>
      </c>
    </row>
    <row r="327" spans="1:4">
      <c r="A327" s="324"/>
      <c r="B327" s="324"/>
      <c r="C327" s="324"/>
      <c r="D327" s="323" t="str">
        <f t="shared" si="5"/>
        <v/>
      </c>
    </row>
    <row r="328" spans="1:4">
      <c r="A328" s="324"/>
      <c r="B328" s="324"/>
      <c r="C328" s="324"/>
      <c r="D328" s="323" t="str">
        <f t="shared" si="5"/>
        <v/>
      </c>
    </row>
    <row r="329" spans="1:4">
      <c r="A329" s="324"/>
      <c r="B329" s="324"/>
      <c r="C329" s="324"/>
      <c r="D329" s="323" t="str">
        <f t="shared" si="5"/>
        <v/>
      </c>
    </row>
    <row r="330" spans="1:4">
      <c r="A330" s="324"/>
      <c r="B330" s="324"/>
      <c r="C330" s="324"/>
      <c r="D330" s="323" t="str">
        <f t="shared" si="5"/>
        <v/>
      </c>
    </row>
    <row r="331" spans="1:4">
      <c r="A331" s="324"/>
      <c r="B331" s="324"/>
      <c r="C331" s="324"/>
      <c r="D331" s="323" t="str">
        <f t="shared" si="5"/>
        <v/>
      </c>
    </row>
    <row r="332" spans="1:4">
      <c r="A332" s="324"/>
      <c r="B332" s="324"/>
      <c r="C332" s="324"/>
      <c r="D332" s="323" t="str">
        <f t="shared" si="5"/>
        <v/>
      </c>
    </row>
    <row r="333" spans="1:4">
      <c r="A333" s="324"/>
      <c r="B333" s="324"/>
      <c r="C333" s="324"/>
      <c r="D333" s="323" t="str">
        <f t="shared" si="5"/>
        <v/>
      </c>
    </row>
    <row r="334" spans="1:4">
      <c r="A334" s="324"/>
      <c r="B334" s="324"/>
      <c r="C334" s="324"/>
      <c r="D334" s="323" t="str">
        <f t="shared" si="5"/>
        <v/>
      </c>
    </row>
    <row r="335" spans="1:4">
      <c r="A335" s="324"/>
      <c r="B335" s="324"/>
      <c r="C335" s="324"/>
      <c r="D335" s="323" t="str">
        <f t="shared" si="5"/>
        <v/>
      </c>
    </row>
    <row r="336" spans="1:4">
      <c r="A336" s="324"/>
      <c r="B336" s="324"/>
      <c r="C336" s="324"/>
      <c r="D336" s="323" t="str">
        <f t="shared" si="5"/>
        <v/>
      </c>
    </row>
    <row r="337" spans="1:4">
      <c r="A337" s="324"/>
      <c r="B337" s="324"/>
      <c r="C337" s="324"/>
      <c r="D337" s="323" t="str">
        <f t="shared" si="5"/>
        <v/>
      </c>
    </row>
    <row r="338" spans="1:4">
      <c r="A338" s="324"/>
      <c r="B338" s="324"/>
      <c r="C338" s="324"/>
      <c r="D338" s="323" t="str">
        <f t="shared" si="5"/>
        <v/>
      </c>
    </row>
    <row r="339" spans="1:4">
      <c r="A339" s="324"/>
      <c r="B339" s="324"/>
      <c r="C339" s="324"/>
      <c r="D339" s="323" t="str">
        <f t="shared" si="5"/>
        <v/>
      </c>
    </row>
    <row r="340" spans="1:4">
      <c r="A340" s="324"/>
      <c r="B340" s="324"/>
      <c r="C340" s="324"/>
      <c r="D340" s="323" t="str">
        <f t="shared" si="5"/>
        <v/>
      </c>
    </row>
    <row r="341" spans="1:4">
      <c r="A341" s="324"/>
      <c r="B341" s="324"/>
      <c r="C341" s="324"/>
      <c r="D341" s="323" t="str">
        <f t="shared" si="5"/>
        <v/>
      </c>
    </row>
    <row r="342" spans="1:4">
      <c r="A342" s="324"/>
      <c r="B342" s="324"/>
      <c r="C342" s="324"/>
      <c r="D342" s="323" t="str">
        <f t="shared" si="5"/>
        <v/>
      </c>
    </row>
  </sheetData>
  <phoneticPr fontId="3"/>
  <pageMargins left="0.78700000000000003" right="0.78700000000000003" top="0.98399999999999999" bottom="0.98399999999999999" header="0.51200000000000001" footer="0.51200000000000001"/>
  <headerFooter alignWithMargins="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indexed="13"/>
  </sheetPr>
  <dimension ref="A1:C31"/>
  <sheetViews>
    <sheetView workbookViewId="0">
      <pane ySplit="1" topLeftCell="A2" activePane="bottomLeft" state="frozen"/>
      <selection activeCell="I15" sqref="I15:I24"/>
      <selection pane="bottomLeft" activeCell="A2" sqref="A2"/>
    </sheetView>
  </sheetViews>
  <sheetFormatPr defaultRowHeight="13.5"/>
  <cols>
    <col min="2" max="2" width="15.5" bestFit="1" customWidth="1"/>
    <col min="3" max="3" width="19.75" bestFit="1" customWidth="1"/>
  </cols>
  <sheetData>
    <row r="1" spans="1:3">
      <c r="A1" s="319" t="s">
        <v>374</v>
      </c>
      <c r="B1" s="319" t="s">
        <v>375</v>
      </c>
      <c r="C1" s="319" t="s">
        <v>373</v>
      </c>
    </row>
    <row r="2" spans="1:3">
      <c r="A2" s="306"/>
      <c r="B2" s="306"/>
      <c r="C2" s="81" t="str">
        <f>IF(OR(A2="",B2=""),"",A2&amp;"："&amp;B2)</f>
        <v/>
      </c>
    </row>
    <row r="3" spans="1:3">
      <c r="A3" s="306"/>
      <c r="B3" s="306"/>
      <c r="C3" s="81" t="str">
        <f t="shared" ref="C3:C31" si="0">IF(OR(A3="",B3=""),"",A3&amp;"："&amp;B3)</f>
        <v/>
      </c>
    </row>
    <row r="4" spans="1:3">
      <c r="A4" s="306"/>
      <c r="B4" s="306"/>
      <c r="C4" s="81" t="str">
        <f t="shared" si="0"/>
        <v/>
      </c>
    </row>
    <row r="5" spans="1:3">
      <c r="A5" s="306"/>
      <c r="B5" s="306"/>
      <c r="C5" s="81" t="str">
        <f t="shared" si="0"/>
        <v/>
      </c>
    </row>
    <row r="6" spans="1:3">
      <c r="A6" s="306"/>
      <c r="B6" s="306"/>
      <c r="C6" s="81" t="str">
        <f t="shared" si="0"/>
        <v/>
      </c>
    </row>
    <row r="7" spans="1:3">
      <c r="A7" s="306"/>
      <c r="B7" s="306"/>
      <c r="C7" s="81" t="str">
        <f t="shared" si="0"/>
        <v/>
      </c>
    </row>
    <row r="8" spans="1:3">
      <c r="A8" s="306"/>
      <c r="B8" s="306"/>
      <c r="C8" s="81" t="str">
        <f t="shared" si="0"/>
        <v/>
      </c>
    </row>
    <row r="9" spans="1:3">
      <c r="A9" s="306"/>
      <c r="B9" s="306"/>
      <c r="C9" s="81" t="str">
        <f t="shared" si="0"/>
        <v/>
      </c>
    </row>
    <row r="10" spans="1:3">
      <c r="A10" s="306"/>
      <c r="B10" s="306"/>
      <c r="C10" s="81" t="str">
        <f t="shared" si="0"/>
        <v/>
      </c>
    </row>
    <row r="11" spans="1:3">
      <c r="A11" s="306"/>
      <c r="B11" s="306"/>
      <c r="C11" s="81" t="str">
        <f t="shared" si="0"/>
        <v/>
      </c>
    </row>
    <row r="12" spans="1:3">
      <c r="A12" s="306"/>
      <c r="B12" s="306"/>
      <c r="C12" s="81" t="str">
        <f t="shared" si="0"/>
        <v/>
      </c>
    </row>
    <row r="13" spans="1:3">
      <c r="A13" s="306"/>
      <c r="B13" s="306"/>
      <c r="C13" s="81" t="str">
        <f t="shared" si="0"/>
        <v/>
      </c>
    </row>
    <row r="14" spans="1:3">
      <c r="A14" s="306"/>
      <c r="B14" s="306"/>
      <c r="C14" s="81" t="str">
        <f t="shared" si="0"/>
        <v/>
      </c>
    </row>
    <row r="15" spans="1:3">
      <c r="A15" s="306"/>
      <c r="B15" s="306"/>
      <c r="C15" s="81" t="str">
        <f t="shared" si="0"/>
        <v/>
      </c>
    </row>
    <row r="16" spans="1:3">
      <c r="A16" s="306"/>
      <c r="B16" s="306"/>
      <c r="C16" s="81" t="str">
        <f t="shared" si="0"/>
        <v/>
      </c>
    </row>
    <row r="17" spans="1:3">
      <c r="A17" s="306"/>
      <c r="B17" s="306"/>
      <c r="C17" s="81" t="str">
        <f t="shared" si="0"/>
        <v/>
      </c>
    </row>
    <row r="18" spans="1:3">
      <c r="A18" s="306"/>
      <c r="B18" s="306"/>
      <c r="C18" s="81" t="str">
        <f t="shared" si="0"/>
        <v/>
      </c>
    </row>
    <row r="19" spans="1:3">
      <c r="A19" s="306"/>
      <c r="B19" s="306"/>
      <c r="C19" s="81" t="str">
        <f t="shared" si="0"/>
        <v/>
      </c>
    </row>
    <row r="20" spans="1:3">
      <c r="A20" s="306"/>
      <c r="B20" s="306"/>
      <c r="C20" s="81" t="str">
        <f t="shared" si="0"/>
        <v/>
      </c>
    </row>
    <row r="21" spans="1:3">
      <c r="A21" s="306"/>
      <c r="B21" s="306"/>
      <c r="C21" s="81" t="str">
        <f t="shared" si="0"/>
        <v/>
      </c>
    </row>
    <row r="22" spans="1:3">
      <c r="A22" s="306"/>
      <c r="B22" s="306"/>
      <c r="C22" s="81" t="str">
        <f t="shared" si="0"/>
        <v/>
      </c>
    </row>
    <row r="23" spans="1:3">
      <c r="A23" s="306"/>
      <c r="B23" s="306"/>
      <c r="C23" s="81" t="str">
        <f t="shared" si="0"/>
        <v/>
      </c>
    </row>
    <row r="24" spans="1:3">
      <c r="A24" s="306"/>
      <c r="B24" s="306"/>
      <c r="C24" s="81" t="str">
        <f t="shared" si="0"/>
        <v/>
      </c>
    </row>
    <row r="25" spans="1:3">
      <c r="A25" s="306"/>
      <c r="B25" s="306"/>
      <c r="C25" s="81" t="str">
        <f t="shared" si="0"/>
        <v/>
      </c>
    </row>
    <row r="26" spans="1:3">
      <c r="A26" s="306"/>
      <c r="B26" s="306"/>
      <c r="C26" s="81" t="str">
        <f t="shared" si="0"/>
        <v/>
      </c>
    </row>
    <row r="27" spans="1:3">
      <c r="A27" s="306"/>
      <c r="B27" s="306"/>
      <c r="C27" s="81" t="str">
        <f t="shared" si="0"/>
        <v/>
      </c>
    </row>
    <row r="28" spans="1:3">
      <c r="A28" s="306"/>
      <c r="B28" s="306"/>
      <c r="C28" s="81" t="str">
        <f t="shared" si="0"/>
        <v/>
      </c>
    </row>
    <row r="29" spans="1:3">
      <c r="A29" s="306"/>
      <c r="B29" s="306"/>
      <c r="C29" s="81" t="str">
        <f t="shared" si="0"/>
        <v/>
      </c>
    </row>
    <row r="30" spans="1:3">
      <c r="A30" s="306"/>
      <c r="B30" s="306"/>
      <c r="C30" s="81" t="str">
        <f t="shared" si="0"/>
        <v/>
      </c>
    </row>
    <row r="31" spans="1:3">
      <c r="A31" s="306"/>
      <c r="B31" s="306"/>
      <c r="C31" s="81" t="str">
        <f t="shared" si="0"/>
        <v/>
      </c>
    </row>
  </sheetData>
  <phoneticPr fontId="3"/>
  <pageMargins left="0.78700000000000003" right="0.78700000000000003" top="0.98399999999999999" bottom="0.98399999999999999" header="0.51200000000000001" footer="0.51200000000000001"/>
  <headerFooter alignWithMargins="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indexed="13"/>
  </sheetPr>
  <dimension ref="A1:C106"/>
  <sheetViews>
    <sheetView workbookViewId="0">
      <pane ySplit="1" topLeftCell="A2" activePane="bottomLeft" state="frozen"/>
      <selection activeCell="I15" sqref="I15:I24"/>
      <selection pane="bottomLeft" activeCell="A2" sqref="A2"/>
    </sheetView>
  </sheetViews>
  <sheetFormatPr defaultRowHeight="13.5"/>
  <cols>
    <col min="1" max="2" width="11.625" bestFit="1" customWidth="1"/>
    <col min="3" max="3" width="20.5" bestFit="1" customWidth="1"/>
  </cols>
  <sheetData>
    <row r="1" spans="1:3">
      <c r="A1" s="325" t="s">
        <v>367</v>
      </c>
      <c r="B1" s="325" t="s">
        <v>374</v>
      </c>
      <c r="C1" s="325" t="s">
        <v>373</v>
      </c>
    </row>
    <row r="2" spans="1:3">
      <c r="A2" s="324"/>
      <c r="B2" s="324"/>
      <c r="C2" s="323" t="str">
        <f>IF(OR(A2="", B2=""),"",A2&amp;B2&amp;"："&amp;VLOOKUP(B2,作業コードマスタ!A:B,2,FALSE))</f>
        <v/>
      </c>
    </row>
    <row r="3" spans="1:3">
      <c r="A3" s="324"/>
      <c r="B3" s="324"/>
      <c r="C3" s="323" t="str">
        <f>IF(OR(A3="", B3=""),"",A3&amp;B3&amp;"："&amp;VLOOKUP(B3,作業コードマスタ!A:B,2,FALSE))</f>
        <v/>
      </c>
    </row>
    <row r="4" spans="1:3">
      <c r="A4" s="324"/>
      <c r="B4" s="324"/>
      <c r="C4" s="323" t="str">
        <f>IF(OR(A4="", B4=""),"",A4&amp;B4&amp;"："&amp;VLOOKUP(B4,作業コードマスタ!A:B,2,FALSE))</f>
        <v/>
      </c>
    </row>
    <row r="5" spans="1:3">
      <c r="A5" s="324"/>
      <c r="B5" s="324"/>
      <c r="C5" s="323" t="str">
        <f>IF(OR(A5="", B5=""),"",A5&amp;B5&amp;"："&amp;VLOOKUP(B5,作業コードマスタ!A:B,2,FALSE))</f>
        <v/>
      </c>
    </row>
    <row r="6" spans="1:3">
      <c r="A6" s="324"/>
      <c r="B6" s="324"/>
      <c r="C6" s="323" t="str">
        <f>IF(OR(A6="", B6=""),"",A6&amp;B6&amp;"："&amp;VLOOKUP(B6,作業コードマスタ!A:B,2,FALSE))</f>
        <v/>
      </c>
    </row>
    <row r="7" spans="1:3">
      <c r="A7" s="324"/>
      <c r="B7" s="324"/>
      <c r="C7" s="323" t="str">
        <f>IF(OR(A7="", B7=""),"",A7&amp;B7&amp;"："&amp;VLOOKUP(B7,作業コードマスタ!A:B,2,FALSE))</f>
        <v/>
      </c>
    </row>
    <row r="8" spans="1:3">
      <c r="A8" s="324"/>
      <c r="B8" s="324"/>
      <c r="C8" s="323" t="str">
        <f>IF(OR(A8="", B8=""),"",A8&amp;B8&amp;"："&amp;VLOOKUP(B8,作業コードマスタ!A:B,2,FALSE))</f>
        <v/>
      </c>
    </row>
    <row r="9" spans="1:3">
      <c r="A9" s="324"/>
      <c r="B9" s="324"/>
      <c r="C9" s="323" t="str">
        <f>IF(OR(A9="", B9=""),"",A9&amp;B9&amp;"："&amp;VLOOKUP(B9,作業コードマスタ!A:B,2,FALSE))</f>
        <v/>
      </c>
    </row>
    <row r="10" spans="1:3">
      <c r="A10" s="324"/>
      <c r="B10" s="324"/>
      <c r="C10" s="323" t="str">
        <f>IF(OR(A10="", B10=""),"",A10&amp;B10&amp;"："&amp;VLOOKUP(B10,作業コードマスタ!A:B,2,FALSE))</f>
        <v/>
      </c>
    </row>
    <row r="11" spans="1:3">
      <c r="A11" s="324"/>
      <c r="B11" s="324"/>
      <c r="C11" s="323" t="str">
        <f>IF(OR(A11="", B11=""),"",A11&amp;B11&amp;"："&amp;VLOOKUP(B11,作業コードマスタ!A:B,2,FALSE))</f>
        <v/>
      </c>
    </row>
    <row r="12" spans="1:3">
      <c r="A12" s="324"/>
      <c r="B12" s="324"/>
      <c r="C12" s="323" t="str">
        <f>IF(OR(A12="", B12=""),"",A12&amp;B12&amp;"："&amp;VLOOKUP(B12,作業コードマスタ!A:B,2,FALSE))</f>
        <v/>
      </c>
    </row>
    <row r="13" spans="1:3">
      <c r="A13" s="324"/>
      <c r="B13" s="324"/>
      <c r="C13" s="323" t="str">
        <f>IF(OR(A13="", B13=""),"",A13&amp;B13&amp;"："&amp;VLOOKUP(B13,作業コードマスタ!A:B,2,FALSE))</f>
        <v/>
      </c>
    </row>
    <row r="14" spans="1:3">
      <c r="A14" s="324"/>
      <c r="B14" s="324"/>
      <c r="C14" s="323" t="str">
        <f>IF(OR(A14="", B14=""),"",A14&amp;B14&amp;"："&amp;VLOOKUP(B14,作業コードマスタ!A:B,2,FALSE))</f>
        <v/>
      </c>
    </row>
    <row r="15" spans="1:3">
      <c r="A15" s="324"/>
      <c r="B15" s="324"/>
      <c r="C15" s="323" t="str">
        <f>IF(OR(A15="", B15=""),"",A15&amp;B15&amp;"："&amp;VLOOKUP(B15,作業コードマスタ!A:B,2,FALSE))</f>
        <v/>
      </c>
    </row>
    <row r="16" spans="1:3">
      <c r="A16" s="324"/>
      <c r="B16" s="324"/>
      <c r="C16" s="323" t="str">
        <f>IF(OR(A16="", B16=""),"",A16&amp;B16&amp;"："&amp;VLOOKUP(B16,作業コードマスタ!A:B,2,FALSE))</f>
        <v/>
      </c>
    </row>
    <row r="17" spans="1:3">
      <c r="A17" s="324"/>
      <c r="B17" s="324"/>
      <c r="C17" s="323" t="str">
        <f>IF(OR(A17="", B17=""),"",A17&amp;B17&amp;"："&amp;VLOOKUP(B17,作業コードマスタ!A:B,2,FALSE))</f>
        <v/>
      </c>
    </row>
    <row r="18" spans="1:3">
      <c r="A18" s="324"/>
      <c r="B18" s="324"/>
      <c r="C18" s="323" t="str">
        <f>IF(OR(A18="", B18=""),"",A18&amp;B18&amp;"："&amp;VLOOKUP(B18,作業コードマスタ!A:B,2,FALSE))</f>
        <v/>
      </c>
    </row>
    <row r="19" spans="1:3">
      <c r="A19" s="324"/>
      <c r="B19" s="324"/>
      <c r="C19" s="323" t="str">
        <f>IF(OR(A19="", B19=""),"",A19&amp;B19&amp;"："&amp;VLOOKUP(B19,作業コードマスタ!A:B,2,FALSE))</f>
        <v/>
      </c>
    </row>
    <row r="20" spans="1:3">
      <c r="A20" s="324"/>
      <c r="B20" s="324"/>
      <c r="C20" s="323" t="str">
        <f>IF(OR(A20="", B20=""),"",A20&amp;B20&amp;"："&amp;VLOOKUP(B20,作業コードマスタ!A:B,2,FALSE))</f>
        <v/>
      </c>
    </row>
    <row r="21" spans="1:3">
      <c r="A21" s="324"/>
      <c r="B21" s="324"/>
      <c r="C21" s="323" t="str">
        <f>IF(OR(A21="", B21=""),"",A21&amp;B21&amp;"："&amp;VLOOKUP(B21,作業コードマスタ!A:B,2,FALSE))</f>
        <v/>
      </c>
    </row>
    <row r="22" spans="1:3">
      <c r="A22" s="324"/>
      <c r="B22" s="324"/>
      <c r="C22" s="323" t="str">
        <f>IF(OR(A22="", B22=""),"",A22&amp;B22&amp;"："&amp;VLOOKUP(B22,作業コードマスタ!A:B,2,FALSE))</f>
        <v/>
      </c>
    </row>
    <row r="23" spans="1:3">
      <c r="A23" s="324"/>
      <c r="B23" s="324"/>
      <c r="C23" s="323" t="str">
        <f>IF(OR(A23="", B23=""),"",A23&amp;B23&amp;"："&amp;VLOOKUP(B23,作業コードマスタ!A:B,2,FALSE))</f>
        <v/>
      </c>
    </row>
    <row r="24" spans="1:3">
      <c r="A24" s="324"/>
      <c r="B24" s="324"/>
      <c r="C24" s="323" t="str">
        <f>IF(OR(A24="", B24=""),"",A24&amp;B24&amp;"："&amp;VLOOKUP(B24,作業コードマスタ!A:B,2,FALSE))</f>
        <v/>
      </c>
    </row>
    <row r="25" spans="1:3">
      <c r="A25" s="324"/>
      <c r="B25" s="324"/>
      <c r="C25" s="323" t="str">
        <f>IF(OR(A25="", B25=""),"",A25&amp;B25&amp;"："&amp;VLOOKUP(B25,作業コードマスタ!A:B,2,FALSE))</f>
        <v/>
      </c>
    </row>
    <row r="26" spans="1:3">
      <c r="A26" s="324"/>
      <c r="B26" s="324"/>
      <c r="C26" s="323" t="str">
        <f>IF(OR(A26="", B26=""),"",A26&amp;B26&amp;"："&amp;VLOOKUP(B26,作業コードマスタ!A:B,2,FALSE))</f>
        <v/>
      </c>
    </row>
    <row r="27" spans="1:3">
      <c r="A27" s="324"/>
      <c r="B27" s="324"/>
      <c r="C27" s="323" t="str">
        <f>IF(OR(A27="", B27=""),"",A27&amp;B27&amp;"："&amp;VLOOKUP(B27,作業コードマスタ!A:B,2,FALSE))</f>
        <v/>
      </c>
    </row>
    <row r="28" spans="1:3">
      <c r="A28" s="324"/>
      <c r="B28" s="324"/>
      <c r="C28" s="323" t="str">
        <f>IF(OR(A28="", B28=""),"",A28&amp;B28&amp;"："&amp;VLOOKUP(B28,作業コードマスタ!A:B,2,FALSE))</f>
        <v/>
      </c>
    </row>
    <row r="29" spans="1:3">
      <c r="A29" s="324"/>
      <c r="B29" s="324"/>
      <c r="C29" s="323" t="str">
        <f>IF(OR(A29="", B29=""),"",A29&amp;B29&amp;"："&amp;VLOOKUP(B29,作業コードマスタ!A:B,2,FALSE))</f>
        <v/>
      </c>
    </row>
    <row r="30" spans="1:3">
      <c r="A30" s="324"/>
      <c r="B30" s="324"/>
      <c r="C30" s="323" t="str">
        <f>IF(OR(A30="", B30=""),"",A30&amp;B30&amp;"："&amp;VLOOKUP(B30,作業コードマスタ!A:B,2,FALSE))</f>
        <v/>
      </c>
    </row>
    <row r="31" spans="1:3">
      <c r="A31" s="324"/>
      <c r="B31" s="324"/>
      <c r="C31" s="323" t="str">
        <f>IF(OR(A31="", B31=""),"",A31&amp;B31&amp;"："&amp;VLOOKUP(B31,作業コードマスタ!A:B,2,FALSE))</f>
        <v/>
      </c>
    </row>
    <row r="32" spans="1:3">
      <c r="A32" s="324"/>
      <c r="B32" s="324"/>
      <c r="C32" s="323" t="str">
        <f>IF(OR(A32="", B32=""),"",A32&amp;B32&amp;"："&amp;VLOOKUP(B32,作業コードマスタ!A:B,2,FALSE))</f>
        <v/>
      </c>
    </row>
    <row r="33" spans="1:3">
      <c r="A33" s="324"/>
      <c r="B33" s="324"/>
      <c r="C33" s="323" t="str">
        <f>IF(OR(A33="", B33=""),"",A33&amp;B33&amp;"："&amp;VLOOKUP(B33,作業コードマスタ!A:B,2,FALSE))</f>
        <v/>
      </c>
    </row>
    <row r="34" spans="1:3">
      <c r="A34" s="324"/>
      <c r="B34" s="324"/>
      <c r="C34" s="323" t="str">
        <f>IF(OR(A34="", B34=""),"",A34&amp;B34&amp;"："&amp;VLOOKUP(B34,作業コードマスタ!A:B,2,FALSE))</f>
        <v/>
      </c>
    </row>
    <row r="35" spans="1:3">
      <c r="A35" s="324"/>
      <c r="B35" s="324"/>
      <c r="C35" s="323" t="str">
        <f>IF(OR(A35="", B35=""),"",A35&amp;B35&amp;"："&amp;VLOOKUP(B35,作業コードマスタ!A:B,2,FALSE))</f>
        <v/>
      </c>
    </row>
    <row r="36" spans="1:3">
      <c r="A36" s="324"/>
      <c r="B36" s="324"/>
      <c r="C36" s="323" t="str">
        <f>IF(OR(A36="", B36=""),"",A36&amp;B36&amp;"："&amp;VLOOKUP(B36,作業コードマスタ!A:B,2,FALSE))</f>
        <v/>
      </c>
    </row>
    <row r="37" spans="1:3">
      <c r="A37" s="324"/>
      <c r="B37" s="324"/>
      <c r="C37" s="323" t="str">
        <f>IF(OR(A37="", B37=""),"",A37&amp;B37&amp;"："&amp;VLOOKUP(B37,作業コードマスタ!A:B,2,FALSE))</f>
        <v/>
      </c>
    </row>
    <row r="38" spans="1:3">
      <c r="A38" s="324"/>
      <c r="B38" s="324"/>
      <c r="C38" s="323" t="str">
        <f>IF(OR(A38="", B38=""),"",A38&amp;B38&amp;"："&amp;VLOOKUP(B38,作業コードマスタ!A:B,2,FALSE))</f>
        <v/>
      </c>
    </row>
    <row r="39" spans="1:3">
      <c r="A39" s="324"/>
      <c r="B39" s="324"/>
      <c r="C39" s="323" t="str">
        <f>IF(OR(A39="", B39=""),"",A39&amp;B39&amp;"："&amp;VLOOKUP(B39,作業コードマスタ!A:B,2,FALSE))</f>
        <v/>
      </c>
    </row>
    <row r="40" spans="1:3">
      <c r="A40" s="324"/>
      <c r="B40" s="324"/>
      <c r="C40" s="323" t="str">
        <f>IF(OR(A40="", B40=""),"",A40&amp;B40&amp;"："&amp;VLOOKUP(B40,作業コードマスタ!A:B,2,FALSE))</f>
        <v/>
      </c>
    </row>
    <row r="41" spans="1:3">
      <c r="A41" s="324"/>
      <c r="B41" s="324"/>
      <c r="C41" s="323" t="str">
        <f>IF(OR(A41="", B41=""),"",A41&amp;B41&amp;"："&amp;VLOOKUP(B41,作業コードマスタ!A:B,2,FALSE))</f>
        <v/>
      </c>
    </row>
    <row r="42" spans="1:3">
      <c r="A42" s="324"/>
      <c r="B42" s="324"/>
      <c r="C42" s="323" t="str">
        <f>IF(OR(A42="", B42=""),"",A42&amp;B42&amp;"："&amp;VLOOKUP(B42,作業コードマスタ!A:B,2,FALSE))</f>
        <v/>
      </c>
    </row>
    <row r="43" spans="1:3">
      <c r="A43" s="324"/>
      <c r="B43" s="324"/>
      <c r="C43" s="323" t="str">
        <f>IF(OR(A43="", B43=""),"",A43&amp;B43&amp;"："&amp;VLOOKUP(B43,作業コードマスタ!A:B,2,FALSE))</f>
        <v/>
      </c>
    </row>
    <row r="44" spans="1:3">
      <c r="A44" s="324"/>
      <c r="B44" s="324"/>
      <c r="C44" s="323" t="str">
        <f>IF(OR(A44="", B44=""),"",A44&amp;B44&amp;"："&amp;VLOOKUP(B44,作業コードマスタ!A:B,2,FALSE))</f>
        <v/>
      </c>
    </row>
    <row r="45" spans="1:3">
      <c r="A45" s="324"/>
      <c r="B45" s="324"/>
      <c r="C45" s="323" t="str">
        <f>IF(OR(A45="", B45=""),"",A45&amp;B45&amp;"："&amp;VLOOKUP(B45,作業コードマスタ!A:B,2,FALSE))</f>
        <v/>
      </c>
    </row>
    <row r="46" spans="1:3">
      <c r="A46" s="324"/>
      <c r="B46" s="324"/>
      <c r="C46" s="323" t="str">
        <f>IF(OR(A46="", B46=""),"",A46&amp;B46&amp;"："&amp;VLOOKUP(B46,作業コードマスタ!A:B,2,FALSE))</f>
        <v/>
      </c>
    </row>
    <row r="47" spans="1:3">
      <c r="A47" s="324"/>
      <c r="B47" s="324"/>
      <c r="C47" s="323" t="str">
        <f>IF(OR(A47="", B47=""),"",A47&amp;B47&amp;"："&amp;VLOOKUP(B47,作業コードマスタ!A:B,2,FALSE))</f>
        <v/>
      </c>
    </row>
    <row r="48" spans="1:3">
      <c r="A48" s="324"/>
      <c r="B48" s="324"/>
      <c r="C48" s="323" t="str">
        <f>IF(OR(A48="", B48=""),"",A48&amp;B48&amp;"："&amp;VLOOKUP(B48,作業コードマスタ!A:B,2,FALSE))</f>
        <v/>
      </c>
    </row>
    <row r="49" spans="1:3">
      <c r="A49" s="324"/>
      <c r="B49" s="324"/>
      <c r="C49" s="323" t="str">
        <f>IF(OR(A49="", B49=""),"",A49&amp;B49&amp;"："&amp;VLOOKUP(B49,作業コードマスタ!A:B,2,FALSE))</f>
        <v/>
      </c>
    </row>
    <row r="50" spans="1:3">
      <c r="A50" s="324"/>
      <c r="B50" s="324"/>
      <c r="C50" s="323" t="str">
        <f>IF(OR(A50="", B50=""),"",A50&amp;B50&amp;"："&amp;VLOOKUP(B50,作業コードマスタ!A:B,2,FALSE))</f>
        <v/>
      </c>
    </row>
    <row r="51" spans="1:3">
      <c r="A51" s="324"/>
      <c r="B51" s="324"/>
      <c r="C51" s="323" t="str">
        <f>IF(OR(A51="", B51=""),"",A51&amp;B51&amp;"："&amp;VLOOKUP(B51,作業コードマスタ!A:B,2,FALSE))</f>
        <v/>
      </c>
    </row>
    <row r="52" spans="1:3">
      <c r="A52" s="324"/>
      <c r="B52" s="324"/>
      <c r="C52" s="323" t="str">
        <f>IF(OR(A52="", B52=""),"",A52&amp;B52&amp;"："&amp;VLOOKUP(B52,作業コードマスタ!A:B,2,FALSE))</f>
        <v/>
      </c>
    </row>
    <row r="53" spans="1:3">
      <c r="A53" s="324"/>
      <c r="B53" s="324"/>
      <c r="C53" s="323" t="str">
        <f>IF(OR(A53="", B53=""),"",A53&amp;B53&amp;"："&amp;VLOOKUP(B53,作業コードマスタ!A:B,2,FALSE))</f>
        <v/>
      </c>
    </row>
    <row r="54" spans="1:3">
      <c r="A54" s="324"/>
      <c r="B54" s="324"/>
      <c r="C54" s="323" t="str">
        <f>IF(OR(A54="", B54=""),"",A54&amp;B54&amp;"："&amp;VLOOKUP(B54,作業コードマスタ!A:B,2,FALSE))</f>
        <v/>
      </c>
    </row>
    <row r="55" spans="1:3">
      <c r="A55" s="324"/>
      <c r="B55" s="324"/>
      <c r="C55" s="323" t="str">
        <f>IF(OR(A55="", B55=""),"",A55&amp;B55&amp;"："&amp;VLOOKUP(B55,作業コードマスタ!A:B,2,FALSE))</f>
        <v/>
      </c>
    </row>
    <row r="56" spans="1:3">
      <c r="A56" s="324"/>
      <c r="B56" s="324"/>
      <c r="C56" s="323" t="str">
        <f>IF(OR(A56="", B56=""),"",A56&amp;B56&amp;"："&amp;VLOOKUP(B56,作業コードマスタ!A:B,2,FALSE))</f>
        <v/>
      </c>
    </row>
    <row r="57" spans="1:3">
      <c r="A57" s="324"/>
      <c r="B57" s="324"/>
      <c r="C57" s="323" t="str">
        <f>IF(OR(A57="", B57=""),"",A57&amp;B57&amp;"："&amp;VLOOKUP(B57,作業コードマスタ!A:B,2,FALSE))</f>
        <v/>
      </c>
    </row>
    <row r="58" spans="1:3">
      <c r="A58" s="324"/>
      <c r="B58" s="324"/>
      <c r="C58" s="323" t="str">
        <f>IF(OR(A58="", B58=""),"",A58&amp;B58&amp;"："&amp;VLOOKUP(B58,作業コードマスタ!A:B,2,FALSE))</f>
        <v/>
      </c>
    </row>
    <row r="59" spans="1:3">
      <c r="A59" s="324"/>
      <c r="B59" s="324"/>
      <c r="C59" s="323" t="str">
        <f>IF(OR(A59="", B59=""),"",A59&amp;B59&amp;"："&amp;VLOOKUP(B59,作業コードマスタ!A:B,2,FALSE))</f>
        <v/>
      </c>
    </row>
    <row r="60" spans="1:3">
      <c r="A60" s="324"/>
      <c r="B60" s="324"/>
      <c r="C60" s="323" t="str">
        <f>IF(OR(A60="", B60=""),"",A60&amp;B60&amp;"："&amp;VLOOKUP(B60,作業コードマスタ!A:B,2,FALSE))</f>
        <v/>
      </c>
    </row>
    <row r="61" spans="1:3">
      <c r="A61" s="324"/>
      <c r="B61" s="324"/>
      <c r="C61" s="323" t="str">
        <f>IF(OR(A61="", B61=""),"",A61&amp;B61&amp;"："&amp;VLOOKUP(B61,作業コードマスタ!A:B,2,FALSE))</f>
        <v/>
      </c>
    </row>
    <row r="62" spans="1:3">
      <c r="A62" s="324"/>
      <c r="B62" s="324"/>
      <c r="C62" s="323" t="str">
        <f>IF(OR(A62="", B62=""),"",A62&amp;B62&amp;"："&amp;VLOOKUP(B62,作業コードマスタ!A:B,2,FALSE))</f>
        <v/>
      </c>
    </row>
    <row r="63" spans="1:3">
      <c r="A63" s="324"/>
      <c r="B63" s="324"/>
      <c r="C63" s="323" t="str">
        <f>IF(OR(A63="", B63=""),"",A63&amp;B63&amp;"："&amp;VLOOKUP(B63,作業コードマスタ!A:B,2,FALSE))</f>
        <v/>
      </c>
    </row>
    <row r="64" spans="1:3">
      <c r="A64" s="324"/>
      <c r="B64" s="324"/>
      <c r="C64" s="323" t="str">
        <f>IF(OR(A64="", B64=""),"",A64&amp;B64&amp;"："&amp;VLOOKUP(B64,作業コードマスタ!A:B,2,FALSE))</f>
        <v/>
      </c>
    </row>
    <row r="65" spans="1:3">
      <c r="A65" s="324"/>
      <c r="B65" s="324"/>
      <c r="C65" s="323" t="str">
        <f>IF(OR(A65="", B65=""),"",A65&amp;B65&amp;"："&amp;VLOOKUP(B65,作業コードマスタ!A:B,2,FALSE))</f>
        <v/>
      </c>
    </row>
    <row r="66" spans="1:3">
      <c r="A66" s="324"/>
      <c r="B66" s="324"/>
      <c r="C66" s="323" t="str">
        <f>IF(OR(A66="", B66=""),"",A66&amp;B66&amp;"："&amp;VLOOKUP(B66,作業コードマスタ!A:B,2,FALSE))</f>
        <v/>
      </c>
    </row>
    <row r="67" spans="1:3">
      <c r="A67" s="324"/>
      <c r="B67" s="324"/>
      <c r="C67" s="323" t="str">
        <f>IF(OR(A67="", B67=""),"",A67&amp;B67&amp;"："&amp;VLOOKUP(B67,作業コードマスタ!A:B,2,FALSE))</f>
        <v/>
      </c>
    </row>
    <row r="68" spans="1:3">
      <c r="A68" s="324"/>
      <c r="B68" s="324"/>
      <c r="C68" s="323" t="str">
        <f>IF(OR(A68="", B68=""),"",A68&amp;B68&amp;"："&amp;VLOOKUP(B68,作業コードマスタ!A:B,2,FALSE))</f>
        <v/>
      </c>
    </row>
    <row r="69" spans="1:3">
      <c r="A69" s="324"/>
      <c r="B69" s="324"/>
      <c r="C69" s="323" t="str">
        <f>IF(OR(A69="", B69=""),"",A69&amp;B69&amp;"："&amp;VLOOKUP(B69,作業コードマスタ!A:B,2,FALSE))</f>
        <v/>
      </c>
    </row>
    <row r="70" spans="1:3">
      <c r="A70" s="324"/>
      <c r="B70" s="324"/>
      <c r="C70" s="323" t="str">
        <f>IF(OR(A70="", B70=""),"",A70&amp;B70&amp;"："&amp;VLOOKUP(B70,作業コードマスタ!A:B,2,FALSE))</f>
        <v/>
      </c>
    </row>
    <row r="71" spans="1:3">
      <c r="A71" s="324"/>
      <c r="B71" s="324"/>
      <c r="C71" s="323" t="str">
        <f>IF(OR(A71="", B71=""),"",A71&amp;B71&amp;"："&amp;VLOOKUP(B71,作業コードマスタ!A:B,2,FALSE))</f>
        <v/>
      </c>
    </row>
    <row r="72" spans="1:3">
      <c r="A72" s="324"/>
      <c r="B72" s="324"/>
      <c r="C72" s="323" t="str">
        <f>IF(OR(A72="", B72=""),"",A72&amp;B72&amp;"："&amp;VLOOKUP(B72,作業コードマスタ!A:B,2,FALSE))</f>
        <v/>
      </c>
    </row>
    <row r="73" spans="1:3">
      <c r="A73" s="324"/>
      <c r="B73" s="324"/>
      <c r="C73" s="323" t="str">
        <f>IF(OR(A73="", B73=""),"",A73&amp;B73&amp;"："&amp;VLOOKUP(B73,作業コードマスタ!A:B,2,FALSE))</f>
        <v/>
      </c>
    </row>
    <row r="74" spans="1:3">
      <c r="A74" s="324"/>
      <c r="B74" s="324"/>
      <c r="C74" s="323" t="str">
        <f>IF(OR(A74="", B74=""),"",A74&amp;B74&amp;"："&amp;VLOOKUP(B74,作業コードマスタ!A:B,2,FALSE))</f>
        <v/>
      </c>
    </row>
    <row r="75" spans="1:3">
      <c r="A75" s="324"/>
      <c r="B75" s="324"/>
      <c r="C75" s="323" t="str">
        <f>IF(OR(A75="", B75=""),"",A75&amp;B75&amp;"："&amp;VLOOKUP(B75,作業コードマスタ!A:B,2,FALSE))</f>
        <v/>
      </c>
    </row>
    <row r="76" spans="1:3">
      <c r="A76" s="324"/>
      <c r="B76" s="324"/>
      <c r="C76" s="323" t="str">
        <f>IF(OR(A76="", B76=""),"",A76&amp;B76&amp;"："&amp;VLOOKUP(B76,作業コードマスタ!A:B,2,FALSE))</f>
        <v/>
      </c>
    </row>
    <row r="77" spans="1:3">
      <c r="A77" s="324"/>
      <c r="B77" s="324"/>
      <c r="C77" s="323" t="str">
        <f>IF(OR(A77="", B77=""),"",A77&amp;B77&amp;"："&amp;VLOOKUP(B77,作業コードマスタ!A:B,2,FALSE))</f>
        <v/>
      </c>
    </row>
    <row r="78" spans="1:3">
      <c r="A78" s="324"/>
      <c r="B78" s="324"/>
      <c r="C78" s="323" t="str">
        <f>IF(OR(A78="", B78=""),"",A78&amp;B78&amp;"："&amp;VLOOKUP(B78,作業コードマスタ!A:B,2,FALSE))</f>
        <v/>
      </c>
    </row>
    <row r="79" spans="1:3">
      <c r="A79" s="324"/>
      <c r="B79" s="324"/>
      <c r="C79" s="323" t="str">
        <f>IF(OR(A79="", B79=""),"",A79&amp;B79&amp;"："&amp;VLOOKUP(B79,作業コードマスタ!A:B,2,FALSE))</f>
        <v/>
      </c>
    </row>
    <row r="80" spans="1:3">
      <c r="A80" s="324"/>
      <c r="B80" s="324"/>
      <c r="C80" s="323" t="str">
        <f>IF(OR(A80="", B80=""),"",A80&amp;B80&amp;"："&amp;VLOOKUP(B80,作業コードマスタ!A:B,2,FALSE))</f>
        <v/>
      </c>
    </row>
    <row r="81" spans="1:3">
      <c r="A81" s="324"/>
      <c r="B81" s="324"/>
      <c r="C81" s="323" t="str">
        <f>IF(OR(A81="", B81=""),"",A81&amp;B81&amp;"："&amp;VLOOKUP(B81,作業コードマスタ!A:B,2,FALSE))</f>
        <v/>
      </c>
    </row>
    <row r="82" spans="1:3">
      <c r="A82" s="324"/>
      <c r="B82" s="324"/>
      <c r="C82" s="323" t="str">
        <f>IF(OR(A82="", B82=""),"",A82&amp;B82&amp;"："&amp;VLOOKUP(B82,作業コードマスタ!A:B,2,FALSE))</f>
        <v/>
      </c>
    </row>
    <row r="83" spans="1:3">
      <c r="A83" s="324"/>
      <c r="B83" s="324"/>
      <c r="C83" s="323" t="str">
        <f>IF(OR(A83="", B83=""),"",A83&amp;B83&amp;"："&amp;VLOOKUP(B83,作業コードマスタ!A:B,2,FALSE))</f>
        <v/>
      </c>
    </row>
    <row r="84" spans="1:3">
      <c r="A84" s="324"/>
      <c r="B84" s="324"/>
      <c r="C84" s="323" t="str">
        <f>IF(OR(A84="", B84=""),"",A84&amp;B84&amp;"："&amp;VLOOKUP(B84,作業コードマスタ!A:B,2,FALSE))</f>
        <v/>
      </c>
    </row>
    <row r="85" spans="1:3">
      <c r="A85" s="324"/>
      <c r="B85" s="324"/>
      <c r="C85" s="323" t="str">
        <f>IF(OR(A85="", B85=""),"",A85&amp;B85&amp;"："&amp;VLOOKUP(B85,作業コードマスタ!A:B,2,FALSE))</f>
        <v/>
      </c>
    </row>
    <row r="86" spans="1:3">
      <c r="A86" s="324"/>
      <c r="B86" s="324"/>
      <c r="C86" s="323" t="str">
        <f>IF(OR(A86="", B86=""),"",A86&amp;B86&amp;"："&amp;VLOOKUP(B86,作業コードマスタ!A:B,2,FALSE))</f>
        <v/>
      </c>
    </row>
    <row r="87" spans="1:3">
      <c r="A87" s="324"/>
      <c r="B87" s="324"/>
      <c r="C87" s="323" t="str">
        <f>IF(OR(A87="", B87=""),"",A87&amp;B87&amp;"："&amp;VLOOKUP(B87,作業コードマスタ!A:B,2,FALSE))</f>
        <v/>
      </c>
    </row>
    <row r="88" spans="1:3">
      <c r="A88" s="324"/>
      <c r="B88" s="324"/>
      <c r="C88" s="323" t="str">
        <f>IF(OR(A88="", B88=""),"",A88&amp;B88&amp;"："&amp;VLOOKUP(B88,作業コードマスタ!A:B,2,FALSE))</f>
        <v/>
      </c>
    </row>
    <row r="89" spans="1:3">
      <c r="A89" s="324"/>
      <c r="B89" s="324"/>
      <c r="C89" s="323" t="str">
        <f>IF(OR(A89="", B89=""),"",A89&amp;B89&amp;"："&amp;VLOOKUP(B89,作業コードマスタ!A:B,2,FALSE))</f>
        <v/>
      </c>
    </row>
    <row r="90" spans="1:3">
      <c r="A90" s="324"/>
      <c r="B90" s="324"/>
      <c r="C90" s="323" t="str">
        <f>IF(OR(A90="", B90=""),"",A90&amp;B90&amp;"："&amp;VLOOKUP(B90,作業コードマスタ!A:B,2,FALSE))</f>
        <v/>
      </c>
    </row>
    <row r="91" spans="1:3">
      <c r="A91" s="324"/>
      <c r="B91" s="324"/>
      <c r="C91" s="323" t="str">
        <f>IF(OR(A91="", B91=""),"",A91&amp;B91&amp;"："&amp;VLOOKUP(B91,作業コードマスタ!A:B,2,FALSE))</f>
        <v/>
      </c>
    </row>
    <row r="92" spans="1:3">
      <c r="A92" s="324"/>
      <c r="B92" s="324"/>
      <c r="C92" s="323" t="str">
        <f>IF(OR(A92="", B92=""),"",A92&amp;B92&amp;"："&amp;VLOOKUP(B92,作業コードマスタ!A:B,2,FALSE))</f>
        <v/>
      </c>
    </row>
    <row r="93" spans="1:3">
      <c r="A93" s="324"/>
      <c r="B93" s="324"/>
      <c r="C93" s="323" t="str">
        <f>IF(OR(A93="", B93=""),"",A93&amp;B93&amp;"："&amp;VLOOKUP(B93,作業コードマスタ!A:B,2,FALSE))</f>
        <v/>
      </c>
    </row>
    <row r="94" spans="1:3">
      <c r="A94" s="324"/>
      <c r="B94" s="324"/>
      <c r="C94" s="323" t="str">
        <f>IF(OR(A94="", B94=""),"",A94&amp;B94&amp;"："&amp;VLOOKUP(B94,作業コードマスタ!A:B,2,FALSE))</f>
        <v/>
      </c>
    </row>
    <row r="95" spans="1:3">
      <c r="A95" s="324"/>
      <c r="B95" s="324"/>
      <c r="C95" s="323" t="str">
        <f>IF(OR(A95="", B95=""),"",A95&amp;B95&amp;"："&amp;VLOOKUP(B95,作業コードマスタ!A:B,2,FALSE))</f>
        <v/>
      </c>
    </row>
    <row r="96" spans="1:3">
      <c r="A96" s="324"/>
      <c r="B96" s="324"/>
      <c r="C96" s="323" t="str">
        <f>IF(OR(A96="", B96=""),"",A96&amp;B96&amp;"："&amp;VLOOKUP(B96,作業コードマスタ!A:B,2,FALSE))</f>
        <v/>
      </c>
    </row>
    <row r="97" spans="1:3">
      <c r="A97" s="324"/>
      <c r="B97" s="324"/>
      <c r="C97" s="323" t="str">
        <f>IF(OR(A97="", B97=""),"",A97&amp;B97&amp;"："&amp;VLOOKUP(B97,作業コードマスタ!A:B,2,FALSE))</f>
        <v/>
      </c>
    </row>
    <row r="98" spans="1:3">
      <c r="A98" s="324"/>
      <c r="B98" s="324"/>
      <c r="C98" s="323" t="str">
        <f>IF(OR(A98="", B98=""),"",A98&amp;B98&amp;"："&amp;VLOOKUP(B98,作業コードマスタ!A:B,2,FALSE))</f>
        <v/>
      </c>
    </row>
    <row r="99" spans="1:3">
      <c r="A99" s="324"/>
      <c r="B99" s="324"/>
      <c r="C99" s="323" t="str">
        <f>IF(OR(A99="", B99=""),"",A99&amp;B99&amp;"："&amp;VLOOKUP(B99,作業コードマスタ!A:B,2,FALSE))</f>
        <v/>
      </c>
    </row>
    <row r="100" spans="1:3">
      <c r="A100" s="324"/>
      <c r="B100" s="324"/>
      <c r="C100" s="323" t="str">
        <f>IF(OR(A100="", B100=""),"",A100&amp;B100&amp;"："&amp;VLOOKUP(B100,作業コードマスタ!A:B,2,FALSE))</f>
        <v/>
      </c>
    </row>
    <row r="101" spans="1:3">
      <c r="A101" s="324"/>
      <c r="B101" s="324"/>
      <c r="C101" s="323" t="str">
        <f>IF(OR(A101="", B101=""),"",A101&amp;B101&amp;"："&amp;VLOOKUP(B101,作業コードマスタ!A:B,2,FALSE))</f>
        <v/>
      </c>
    </row>
    <row r="102" spans="1:3">
      <c r="A102" s="324"/>
      <c r="B102" s="324"/>
      <c r="C102" s="323" t="str">
        <f>IF(OR(A102="", B102=""),"",A102&amp;B102&amp;"："&amp;VLOOKUP(B102,作業コードマスタ!A:B,2,FALSE))</f>
        <v/>
      </c>
    </row>
    <row r="103" spans="1:3">
      <c r="A103" s="324"/>
      <c r="B103" s="324"/>
      <c r="C103" s="323" t="str">
        <f>IF(OR(A103="", B103=""),"",A103&amp;B103&amp;"："&amp;VLOOKUP(B103,作業コードマスタ!A:B,2,FALSE))</f>
        <v/>
      </c>
    </row>
    <row r="104" spans="1:3">
      <c r="A104" s="324"/>
      <c r="B104" s="324"/>
      <c r="C104" s="323" t="str">
        <f>IF(OR(A104="", B104=""),"",A104&amp;B104&amp;"："&amp;VLOOKUP(B104,作業コードマスタ!A:B,2,FALSE))</f>
        <v/>
      </c>
    </row>
    <row r="105" spans="1:3">
      <c r="A105" s="324"/>
      <c r="B105" s="324"/>
      <c r="C105" s="323" t="str">
        <f>IF(OR(A105="", B105=""),"",A105&amp;B105&amp;"："&amp;VLOOKUP(B105,作業コードマスタ!A:B,2,FALSE))</f>
        <v/>
      </c>
    </row>
    <row r="106" spans="1:3">
      <c r="A106" s="324"/>
      <c r="B106" s="324"/>
      <c r="C106" s="323" t="str">
        <f>IF(OR(A106="", B106=""),"",A106&amp;B106&amp;"："&amp;VLOOKUP(B106,作業コードマスタ!A:B,2,FALSE))</f>
        <v/>
      </c>
    </row>
  </sheetData>
  <phoneticPr fontId="3"/>
  <pageMargins left="0.78700000000000003" right="0.78700000000000003" top="0.98399999999999999" bottom="0.98399999999999999" header="0.51200000000000001" footer="0.51200000000000001"/>
  <headerFooter alignWithMargins="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indexed="13"/>
  </sheetPr>
  <dimension ref="A1:K74"/>
  <sheetViews>
    <sheetView zoomScaleNormal="100" workbookViewId="0"/>
  </sheetViews>
  <sheetFormatPr defaultRowHeight="13.5"/>
  <cols>
    <col min="1" max="1" width="5.25" style="328" customWidth="1"/>
    <col min="2" max="2" width="10.75" style="327" bestFit="1" customWidth="1"/>
    <col min="3" max="3" width="5" style="328" bestFit="1" customWidth="1"/>
    <col min="4" max="4" width="12.25" style="328" bestFit="1" customWidth="1"/>
    <col min="5" max="5" width="2.625" style="328" customWidth="1"/>
    <col min="6" max="6" width="21" style="328" bestFit="1" customWidth="1"/>
    <col min="7" max="7" width="35.5" style="328" bestFit="1" customWidth="1"/>
    <col min="8" max="8" width="5.125" style="328" bestFit="1" customWidth="1"/>
    <col min="9" max="9" width="2.625" style="328" customWidth="1"/>
    <col min="10" max="10" width="5.875" style="328" bestFit="1" customWidth="1"/>
    <col min="11" max="11" width="73.375" style="328" bestFit="1" customWidth="1"/>
  </cols>
  <sheetData>
    <row r="1" spans="1:11" ht="14.25" thickBot="1">
      <c r="A1" s="326" t="s">
        <v>376</v>
      </c>
    </row>
    <row r="2" spans="1:11">
      <c r="B2" s="329"/>
      <c r="C2" s="330" t="str">
        <f t="shared" ref="C2:C12" si="0">TEXT(B2,"(aaa)")</f>
        <v>(土)</v>
      </c>
      <c r="D2" s="331"/>
    </row>
    <row r="3" spans="1:11">
      <c r="B3" s="332"/>
      <c r="C3" s="333" t="str">
        <f t="shared" si="0"/>
        <v>(土)</v>
      </c>
      <c r="D3" s="334"/>
    </row>
    <row r="4" spans="1:11" ht="14.25" thickBot="1">
      <c r="B4" s="335"/>
      <c r="C4" s="336" t="str">
        <f t="shared" si="0"/>
        <v>(土)</v>
      </c>
      <c r="D4" s="337"/>
    </row>
    <row r="5" spans="1:11">
      <c r="B5" s="329"/>
      <c r="C5" s="330" t="str">
        <f t="shared" si="0"/>
        <v>(土)</v>
      </c>
      <c r="D5" s="331"/>
    </row>
    <row r="6" spans="1:11">
      <c r="A6" s="326"/>
      <c r="B6" s="332"/>
      <c r="C6" s="333" t="str">
        <f t="shared" si="0"/>
        <v>(土)</v>
      </c>
      <c r="D6" s="334"/>
    </row>
    <row r="7" spans="1:11">
      <c r="B7" s="332"/>
      <c r="C7" s="333" t="str">
        <f t="shared" si="0"/>
        <v>(土)</v>
      </c>
      <c r="D7" s="334"/>
    </row>
    <row r="8" spans="1:11">
      <c r="B8" s="332"/>
      <c r="C8" s="333" t="str">
        <f t="shared" si="0"/>
        <v>(土)</v>
      </c>
      <c r="D8" s="334"/>
    </row>
    <row r="9" spans="1:11">
      <c r="B9" s="332"/>
      <c r="C9" s="333" t="str">
        <f t="shared" si="0"/>
        <v>(土)</v>
      </c>
      <c r="D9" s="334"/>
    </row>
    <row r="10" spans="1:11" ht="14.25" thickBot="1">
      <c r="B10" s="338"/>
      <c r="C10" s="339" t="str">
        <f t="shared" si="0"/>
        <v>(土)</v>
      </c>
      <c r="D10" s="340"/>
    </row>
    <row r="11" spans="1:11">
      <c r="B11" s="329"/>
      <c r="C11" s="330" t="str">
        <f t="shared" si="0"/>
        <v>(土)</v>
      </c>
      <c r="D11" s="331"/>
    </row>
    <row r="12" spans="1:11" ht="14.25" thickBot="1">
      <c r="B12" s="338"/>
      <c r="C12" s="339" t="str">
        <f t="shared" si="0"/>
        <v>(土)</v>
      </c>
      <c r="D12" s="340"/>
    </row>
    <row r="13" spans="1:11" ht="38.25" customHeight="1"/>
    <row r="14" spans="1:11">
      <c r="A14" s="341" t="s">
        <v>377</v>
      </c>
    </row>
    <row r="15" spans="1:11">
      <c r="A15" s="342">
        <f>YEAR(ユーザ_開始日)</f>
        <v>2022</v>
      </c>
      <c r="B15" s="343">
        <f>DATE(A15,1,1)</f>
        <v>44562</v>
      </c>
      <c r="C15" s="344" t="str">
        <f t="shared" ref="C15:C74" si="1">TEXT(B15,"(aaa)")</f>
        <v>(土)</v>
      </c>
      <c r="D15" s="345" t="s">
        <v>378</v>
      </c>
      <c r="F15" s="346" t="s">
        <v>379</v>
      </c>
      <c r="G15" s="346" t="s">
        <v>380</v>
      </c>
      <c r="H15" s="346" t="s">
        <v>381</v>
      </c>
      <c r="J15" s="347" t="s">
        <v>382</v>
      </c>
      <c r="K15" s="347" t="s">
        <v>383</v>
      </c>
    </row>
    <row r="16" spans="1:11">
      <c r="A16" s="348"/>
      <c r="B16" s="343" t="str">
        <f>IF(WEEKDAY(B15)=1,B15+1,"")</f>
        <v/>
      </c>
      <c r="C16" s="344" t="str">
        <f t="shared" si="1"/>
        <v/>
      </c>
      <c r="D16" s="345" t="s">
        <v>384</v>
      </c>
      <c r="F16" s="347" t="s">
        <v>378</v>
      </c>
      <c r="G16" s="349">
        <v>43466</v>
      </c>
      <c r="H16" s="346">
        <v>1</v>
      </c>
      <c r="J16" s="347" t="s">
        <v>385</v>
      </c>
      <c r="K16" s="347" t="s">
        <v>386</v>
      </c>
    </row>
    <row r="17" spans="1:11">
      <c r="A17" s="348"/>
      <c r="B17" s="343">
        <f>DATE(A15,1,14-WEEKDAY(DATE(A15,1,0),3))</f>
        <v>44571</v>
      </c>
      <c r="C17" s="344" t="str">
        <f t="shared" si="1"/>
        <v>(月)</v>
      </c>
      <c r="D17" s="345" t="s">
        <v>387</v>
      </c>
      <c r="F17" s="347" t="s">
        <v>387</v>
      </c>
      <c r="G17" s="350" t="s">
        <v>388</v>
      </c>
      <c r="H17" s="346">
        <v>2</v>
      </c>
      <c r="J17" s="347" t="s">
        <v>389</v>
      </c>
      <c r="K17" s="347" t="s">
        <v>390</v>
      </c>
    </row>
    <row r="18" spans="1:11">
      <c r="A18" s="348"/>
      <c r="B18" s="343">
        <f>DATE(A15,2,11)</f>
        <v>44603</v>
      </c>
      <c r="C18" s="344" t="str">
        <f t="shared" si="1"/>
        <v>(金)</v>
      </c>
      <c r="D18" s="345" t="s">
        <v>391</v>
      </c>
      <c r="F18" s="347" t="s">
        <v>391</v>
      </c>
      <c r="G18" s="349">
        <v>43507</v>
      </c>
      <c r="H18" s="346">
        <v>1</v>
      </c>
      <c r="J18" s="347" t="s">
        <v>392</v>
      </c>
      <c r="K18" s="347" t="s">
        <v>393</v>
      </c>
    </row>
    <row r="19" spans="1:11">
      <c r="A19" s="348"/>
      <c r="B19" s="343" t="str">
        <f>IF(WEEKDAY(B18)=1,B18+1,"")</f>
        <v/>
      </c>
      <c r="C19" s="344" t="str">
        <f t="shared" si="1"/>
        <v/>
      </c>
      <c r="D19" s="345" t="s">
        <v>384</v>
      </c>
      <c r="F19" s="347" t="s">
        <v>394</v>
      </c>
      <c r="G19" s="350" t="s">
        <v>395</v>
      </c>
      <c r="H19" s="346">
        <v>1</v>
      </c>
      <c r="J19" s="347" t="s">
        <v>396</v>
      </c>
      <c r="K19" s="347" t="s">
        <v>397</v>
      </c>
    </row>
    <row r="20" spans="1:11">
      <c r="A20" s="348"/>
      <c r="B20" s="343">
        <f>IF(A15&gt;2019,DATE(A15,2,23),IF(A15&lt;2019,DATE(A15,12,23),""))</f>
        <v>44615</v>
      </c>
      <c r="C20" s="344" t="str">
        <f t="shared" si="1"/>
        <v>(水)</v>
      </c>
      <c r="D20" s="345" t="s">
        <v>394</v>
      </c>
      <c r="F20" s="347" t="s">
        <v>398</v>
      </c>
      <c r="G20" s="349" t="s">
        <v>399</v>
      </c>
      <c r="H20" s="346">
        <v>3</v>
      </c>
      <c r="J20" s="347"/>
      <c r="K20" s="347" t="s">
        <v>400</v>
      </c>
    </row>
    <row r="21" spans="1:11">
      <c r="A21" s="348"/>
      <c r="B21" s="343" t="str">
        <f>IF(A15=2019,"",IF(WEEKDAY(B20)=1,B20+1,""))</f>
        <v/>
      </c>
      <c r="C21" s="344" t="str">
        <f t="shared" si="1"/>
        <v/>
      </c>
      <c r="D21" s="345" t="s">
        <v>384</v>
      </c>
      <c r="F21" s="347" t="s">
        <v>401</v>
      </c>
      <c r="G21" s="349">
        <v>43584</v>
      </c>
      <c r="H21" s="346">
        <v>1</v>
      </c>
    </row>
    <row r="22" spans="1:11">
      <c r="A22" s="348"/>
      <c r="B22" s="343">
        <f>DATE(A15,3,INT(20.8431+0.242194*(A15-1980)-INT((A15-1980)/4)))</f>
        <v>44641</v>
      </c>
      <c r="C22" s="344" t="str">
        <f t="shared" si="1"/>
        <v>(月)</v>
      </c>
      <c r="D22" s="345" t="s">
        <v>398</v>
      </c>
      <c r="F22" s="347" t="s">
        <v>402</v>
      </c>
      <c r="G22" s="349">
        <v>43588</v>
      </c>
      <c r="H22" s="346">
        <v>1</v>
      </c>
    </row>
    <row r="23" spans="1:11">
      <c r="A23" s="348"/>
      <c r="B23" s="343" t="str">
        <f>IF(WEEKDAY(B22)=1,B22+1,"")</f>
        <v/>
      </c>
      <c r="C23" s="344" t="str">
        <f t="shared" si="1"/>
        <v/>
      </c>
      <c r="D23" s="345" t="s">
        <v>384</v>
      </c>
      <c r="F23" s="347" t="s">
        <v>403</v>
      </c>
      <c r="G23" s="349">
        <v>43589</v>
      </c>
      <c r="H23" s="346">
        <v>1</v>
      </c>
    </row>
    <row r="24" spans="1:11">
      <c r="A24" s="348"/>
      <c r="B24" s="343">
        <f>DATE(A15,4,29)</f>
        <v>44680</v>
      </c>
      <c r="C24" s="344" t="str">
        <f t="shared" si="1"/>
        <v>(金)</v>
      </c>
      <c r="D24" s="345" t="s">
        <v>401</v>
      </c>
      <c r="F24" s="347" t="s">
        <v>404</v>
      </c>
      <c r="G24" s="351">
        <v>43590</v>
      </c>
      <c r="H24" s="346">
        <v>1</v>
      </c>
    </row>
    <row r="25" spans="1:11">
      <c r="A25" s="348"/>
      <c r="B25" s="343" t="str">
        <f>IF(A15=2019,DATE(A15,4,30),IF(WEEKDAY(B24)=1,B24+1,""))</f>
        <v/>
      </c>
      <c r="C25" s="344" t="str">
        <f t="shared" si="1"/>
        <v/>
      </c>
      <c r="D25" s="345" t="str">
        <f>IF(A15=2019,"国民の休日","振替休日")</f>
        <v>振替休日</v>
      </c>
      <c r="F25" s="347" t="s">
        <v>405</v>
      </c>
      <c r="G25" s="349" t="s">
        <v>406</v>
      </c>
      <c r="H25" s="346">
        <v>2</v>
      </c>
    </row>
    <row r="26" spans="1:11">
      <c r="A26" s="348"/>
      <c r="B26" s="343" t="str">
        <f>IF(A15=2019,DATE(A15,5,1),"")</f>
        <v/>
      </c>
      <c r="C26" s="344" t="str">
        <f t="shared" si="1"/>
        <v/>
      </c>
      <c r="D26" s="345" t="str">
        <f>IF(A15=2019,"即位の日","")</f>
        <v/>
      </c>
      <c r="F26" s="347" t="s">
        <v>407</v>
      </c>
      <c r="G26" s="350" t="s">
        <v>408</v>
      </c>
      <c r="H26" s="346">
        <v>1</v>
      </c>
    </row>
    <row r="27" spans="1:11">
      <c r="A27" s="348"/>
      <c r="B27" s="343" t="str">
        <f>IF(A15=2019,DATE(A15,5,2),"")</f>
        <v/>
      </c>
      <c r="C27" s="344" t="str">
        <f t="shared" si="1"/>
        <v/>
      </c>
      <c r="D27" s="345" t="str">
        <f>IF(A15=2019,"国民の休日","")</f>
        <v/>
      </c>
      <c r="F27" s="347" t="s">
        <v>409</v>
      </c>
      <c r="G27" s="350" t="s">
        <v>410</v>
      </c>
      <c r="H27" s="346">
        <v>2</v>
      </c>
    </row>
    <row r="28" spans="1:11">
      <c r="A28" s="348"/>
      <c r="B28" s="343">
        <f>DATE(A15,5,3)</f>
        <v>44684</v>
      </c>
      <c r="C28" s="344" t="str">
        <f t="shared" si="1"/>
        <v>(火)</v>
      </c>
      <c r="D28" s="345" t="s">
        <v>402</v>
      </c>
      <c r="F28" s="347" t="s">
        <v>411</v>
      </c>
      <c r="G28" s="350" t="s">
        <v>412</v>
      </c>
      <c r="H28" s="346">
        <v>4</v>
      </c>
    </row>
    <row r="29" spans="1:11">
      <c r="A29" s="348"/>
      <c r="B29" s="343">
        <f>DATE(A15,5,4)</f>
        <v>44685</v>
      </c>
      <c r="C29" s="344" t="str">
        <f t="shared" si="1"/>
        <v>(水)</v>
      </c>
      <c r="D29" s="345" t="s">
        <v>403</v>
      </c>
      <c r="F29" s="347" t="s">
        <v>413</v>
      </c>
      <c r="G29" s="350" t="s">
        <v>414</v>
      </c>
      <c r="H29" s="346">
        <v>2</v>
      </c>
    </row>
    <row r="30" spans="1:11">
      <c r="A30" s="348"/>
      <c r="B30" s="343">
        <f>DATE(A15,5,5)</f>
        <v>44686</v>
      </c>
      <c r="C30" s="344" t="str">
        <f t="shared" si="1"/>
        <v>(木)</v>
      </c>
      <c r="D30" s="345" t="s">
        <v>404</v>
      </c>
      <c r="F30" s="347" t="s">
        <v>415</v>
      </c>
      <c r="G30" s="349">
        <v>43772</v>
      </c>
      <c r="H30" s="346">
        <v>1</v>
      </c>
    </row>
    <row r="31" spans="1:11">
      <c r="A31" s="348"/>
      <c r="B31" s="343" t="str">
        <f>IF(OR(WEEKDAY(B28)=1,WEEKDAY(B29)=1,WEEKDAY(B30)=1),B30+1,"")</f>
        <v/>
      </c>
      <c r="C31" s="344" t="str">
        <f t="shared" si="1"/>
        <v/>
      </c>
      <c r="D31" s="345" t="s">
        <v>384</v>
      </c>
      <c r="F31" s="347" t="s">
        <v>416</v>
      </c>
      <c r="G31" s="349">
        <v>43792</v>
      </c>
      <c r="H31" s="346">
        <v>1</v>
      </c>
    </row>
    <row r="32" spans="1:11">
      <c r="A32" s="348"/>
      <c r="B32" s="402">
        <f>IF(A15=2021,DATE(A15,7,22),DATE(A15,7,21-WEEKDAY(DATE(A15,7,0),3)))</f>
        <v>44760</v>
      </c>
      <c r="C32" s="344" t="str">
        <f t="shared" si="1"/>
        <v>(月)</v>
      </c>
      <c r="D32" s="345" t="s">
        <v>405</v>
      </c>
      <c r="F32" s="347"/>
      <c r="G32" s="349"/>
      <c r="H32" s="346"/>
    </row>
    <row r="33" spans="1:8">
      <c r="A33" s="348"/>
      <c r="B33" s="402">
        <f>IF(A15=2021,DATE(A15,8,8),DATE(A15,8,11))</f>
        <v>44784</v>
      </c>
      <c r="C33" s="344" t="str">
        <f t="shared" si="1"/>
        <v>(木)</v>
      </c>
      <c r="D33" s="345" t="s">
        <v>407</v>
      </c>
      <c r="F33" s="347" t="s">
        <v>417</v>
      </c>
      <c r="G33" s="352">
        <v>43586</v>
      </c>
      <c r="H33" s="346">
        <v>5</v>
      </c>
    </row>
    <row r="34" spans="1:8">
      <c r="A34" s="348"/>
      <c r="B34" s="343" t="str">
        <f>IF(WEEKDAY(B33)=1,B33+1,"")</f>
        <v/>
      </c>
      <c r="C34" s="344" t="str">
        <f t="shared" si="1"/>
        <v/>
      </c>
      <c r="D34" s="345" t="s">
        <v>384</v>
      </c>
      <c r="F34" s="347" t="s">
        <v>418</v>
      </c>
      <c r="G34" s="352">
        <v>43760</v>
      </c>
      <c r="H34" s="346">
        <v>5</v>
      </c>
    </row>
    <row r="35" spans="1:8">
      <c r="A35" s="348"/>
      <c r="B35" s="343">
        <f>DATE(A15,9,21-WEEKDAY(DATE(A15,9,0),3))</f>
        <v>44823</v>
      </c>
      <c r="C35" s="344" t="str">
        <f t="shared" si="1"/>
        <v>(月)</v>
      </c>
      <c r="D35" s="345" t="s">
        <v>409</v>
      </c>
      <c r="F35" s="347"/>
      <c r="G35" s="353"/>
      <c r="H35" s="346"/>
    </row>
    <row r="36" spans="1:8">
      <c r="A36" s="348"/>
      <c r="B36" s="343" t="str">
        <f>IF(B37-B35=2,B35+1,"")</f>
        <v/>
      </c>
      <c r="C36" s="344" t="str">
        <f t="shared" si="1"/>
        <v/>
      </c>
      <c r="D36" s="345" t="s">
        <v>419</v>
      </c>
      <c r="F36" s="347" t="s">
        <v>420</v>
      </c>
      <c r="G36" s="347" t="s">
        <v>421</v>
      </c>
      <c r="H36" s="346"/>
    </row>
    <row r="37" spans="1:8">
      <c r="A37" s="348"/>
      <c r="B37" s="343">
        <f>DATE(A15,9,INT(23.2488+0.242194*(A15-1980)-INT((A15-1980)/4)))</f>
        <v>44827</v>
      </c>
      <c r="C37" s="344" t="str">
        <f t="shared" si="1"/>
        <v>(金)</v>
      </c>
      <c r="D37" s="345" t="s">
        <v>411</v>
      </c>
      <c r="F37" s="347" t="s">
        <v>422</v>
      </c>
      <c r="G37" s="347" t="s">
        <v>423</v>
      </c>
      <c r="H37" s="346"/>
    </row>
    <row r="38" spans="1:8">
      <c r="A38" s="348"/>
      <c r="B38" s="343" t="str">
        <f>IF(WEEKDAY(B37)=1,B37+1,"")</f>
        <v/>
      </c>
      <c r="C38" s="344" t="str">
        <f t="shared" si="1"/>
        <v/>
      </c>
      <c r="D38" s="345" t="s">
        <v>384</v>
      </c>
      <c r="F38" s="354"/>
      <c r="G38" s="354"/>
      <c r="H38" s="354"/>
    </row>
    <row r="39" spans="1:8">
      <c r="A39" s="348"/>
      <c r="B39" s="402">
        <f>IF(A15=2021,DATE(A15,7,23),DATE(A15,10,14-WEEKDAY(DATE(A15,10,0),3)))</f>
        <v>44844</v>
      </c>
      <c r="C39" s="344" t="str">
        <f t="shared" si="1"/>
        <v>(月)</v>
      </c>
      <c r="D39" s="345" t="str">
        <f>IF(A15&lt;2020,"体育の日","スポーツの日")</f>
        <v>スポーツの日</v>
      </c>
    </row>
    <row r="40" spans="1:8">
      <c r="A40" s="348"/>
      <c r="B40" s="343" t="str">
        <f>IF(A15=2019,DATE(A15,10,22),"")</f>
        <v/>
      </c>
      <c r="C40" s="344" t="str">
        <f t="shared" si="1"/>
        <v/>
      </c>
      <c r="D40" s="345" t="str">
        <f>IF(A15=2019,"即位礼正殿の儀","")</f>
        <v/>
      </c>
    </row>
    <row r="41" spans="1:8">
      <c r="A41" s="348"/>
      <c r="B41" s="343">
        <f>DATE(A15,11,3)</f>
        <v>44868</v>
      </c>
      <c r="C41" s="344" t="str">
        <f t="shared" si="1"/>
        <v>(木)</v>
      </c>
      <c r="D41" s="345" t="s">
        <v>415</v>
      </c>
    </row>
    <row r="42" spans="1:8">
      <c r="A42" s="348"/>
      <c r="B42" s="343" t="str">
        <f>IF(WEEKDAY(B41)=1,B41+1,"")</f>
        <v/>
      </c>
      <c r="C42" s="344" t="str">
        <f t="shared" si="1"/>
        <v/>
      </c>
      <c r="D42" s="345" t="s">
        <v>384</v>
      </c>
    </row>
    <row r="43" spans="1:8">
      <c r="A43" s="348"/>
      <c r="B43" s="343">
        <f>DATE(A15,11,23)</f>
        <v>44888</v>
      </c>
      <c r="C43" s="344" t="str">
        <f t="shared" si="1"/>
        <v>(水)</v>
      </c>
      <c r="D43" s="345" t="s">
        <v>416</v>
      </c>
    </row>
    <row r="44" spans="1:8">
      <c r="A44" s="355"/>
      <c r="B44" s="343" t="str">
        <f>IF(WEEKDAY(B43)=1,B43+1,"")</f>
        <v/>
      </c>
      <c r="C44" s="344" t="str">
        <f t="shared" si="1"/>
        <v/>
      </c>
      <c r="D44" s="345" t="s">
        <v>384</v>
      </c>
    </row>
    <row r="45" spans="1:8">
      <c r="A45" s="342">
        <f>A15+1</f>
        <v>2023</v>
      </c>
      <c r="B45" s="343">
        <f>DATE(A45,1,1)</f>
        <v>44927</v>
      </c>
      <c r="C45" s="344" t="str">
        <f t="shared" si="1"/>
        <v>(日)</v>
      </c>
      <c r="D45" s="345" t="s">
        <v>378</v>
      </c>
    </row>
    <row r="46" spans="1:8">
      <c r="A46" s="348"/>
      <c r="B46" s="343">
        <f>IF(WEEKDAY(B45)=1,B45+1,"")</f>
        <v>44928</v>
      </c>
      <c r="C46" s="344" t="str">
        <f t="shared" si="1"/>
        <v>(月)</v>
      </c>
      <c r="D46" s="345" t="s">
        <v>384</v>
      </c>
    </row>
    <row r="47" spans="1:8">
      <c r="A47" s="348"/>
      <c r="B47" s="343">
        <f>DATE(A45,1,14-WEEKDAY(DATE(A45,1,0),3))</f>
        <v>44935</v>
      </c>
      <c r="C47" s="344" t="str">
        <f t="shared" si="1"/>
        <v>(月)</v>
      </c>
      <c r="D47" s="345" t="s">
        <v>387</v>
      </c>
    </row>
    <row r="48" spans="1:8">
      <c r="A48" s="348"/>
      <c r="B48" s="343">
        <f>DATE(A45,2,11)</f>
        <v>44968</v>
      </c>
      <c r="C48" s="344" t="str">
        <f t="shared" si="1"/>
        <v>(土)</v>
      </c>
      <c r="D48" s="345" t="s">
        <v>391</v>
      </c>
    </row>
    <row r="49" spans="1:4">
      <c r="A49" s="348"/>
      <c r="B49" s="343" t="str">
        <f>IF(WEEKDAY(B48)=1,B48+1,"")</f>
        <v/>
      </c>
      <c r="C49" s="344" t="str">
        <f t="shared" si="1"/>
        <v/>
      </c>
      <c r="D49" s="345" t="s">
        <v>384</v>
      </c>
    </row>
    <row r="50" spans="1:4">
      <c r="A50" s="348"/>
      <c r="B50" s="343">
        <f>IF(A45&gt;2019,DATE(A45,2,23),IF(A45&lt;2019,DATE(A45,12,23),""))</f>
        <v>44980</v>
      </c>
      <c r="C50" s="344" t="str">
        <f t="shared" si="1"/>
        <v>(木)</v>
      </c>
      <c r="D50" s="345" t="s">
        <v>394</v>
      </c>
    </row>
    <row r="51" spans="1:4">
      <c r="A51" s="348"/>
      <c r="B51" s="343" t="str">
        <f>IF(A45=2019,"",IF(WEEKDAY(B50)=1,B50+1,""))</f>
        <v/>
      </c>
      <c r="C51" s="344" t="str">
        <f t="shared" si="1"/>
        <v/>
      </c>
      <c r="D51" s="345" t="s">
        <v>384</v>
      </c>
    </row>
    <row r="52" spans="1:4">
      <c r="A52" s="348"/>
      <c r="B52" s="343">
        <f>DATE(A45,3,INT(20.8431+0.242194*(A45-1980)-INT((A45-1980)/4)))</f>
        <v>45006</v>
      </c>
      <c r="C52" s="344" t="str">
        <f t="shared" si="1"/>
        <v>(火)</v>
      </c>
      <c r="D52" s="345" t="s">
        <v>398</v>
      </c>
    </row>
    <row r="53" spans="1:4">
      <c r="A53" s="348"/>
      <c r="B53" s="343" t="str">
        <f>IF(WEEKDAY(B52)=1,B52+1,"")</f>
        <v/>
      </c>
      <c r="C53" s="344" t="str">
        <f t="shared" si="1"/>
        <v/>
      </c>
      <c r="D53" s="345" t="s">
        <v>384</v>
      </c>
    </row>
    <row r="54" spans="1:4">
      <c r="A54" s="348"/>
      <c r="B54" s="343">
        <f>DATE(A45,4,29)</f>
        <v>45045</v>
      </c>
      <c r="C54" s="344" t="str">
        <f t="shared" si="1"/>
        <v>(土)</v>
      </c>
      <c r="D54" s="345" t="s">
        <v>401</v>
      </c>
    </row>
    <row r="55" spans="1:4">
      <c r="A55" s="348"/>
      <c r="B55" s="343" t="str">
        <f>IF(A45=2019,DATE(A45,4,30),IF(WEEKDAY(B54)=1,B54+1,""))</f>
        <v/>
      </c>
      <c r="C55" s="344" t="str">
        <f t="shared" si="1"/>
        <v/>
      </c>
      <c r="D55" s="345" t="str">
        <f>IF(A45=2019,"国民の休日","振替休日")</f>
        <v>振替休日</v>
      </c>
    </row>
    <row r="56" spans="1:4">
      <c r="A56" s="348"/>
      <c r="B56" s="343" t="str">
        <f>IF(A45=2019,DATE(A45,5,1),"")</f>
        <v/>
      </c>
      <c r="C56" s="344" t="str">
        <f t="shared" si="1"/>
        <v/>
      </c>
      <c r="D56" s="345" t="str">
        <f>IF(A45=2019,"即位の日","")</f>
        <v/>
      </c>
    </row>
    <row r="57" spans="1:4">
      <c r="A57" s="348"/>
      <c r="B57" s="343" t="str">
        <f>IF(A45=2019,DATE(A45,5,2),"")</f>
        <v/>
      </c>
      <c r="C57" s="344" t="str">
        <f t="shared" si="1"/>
        <v/>
      </c>
      <c r="D57" s="345" t="str">
        <f>IF(A45=2019,"国民の休日","")</f>
        <v/>
      </c>
    </row>
    <row r="58" spans="1:4">
      <c r="A58" s="348"/>
      <c r="B58" s="343">
        <f>DATE(A45,5,3)</f>
        <v>45049</v>
      </c>
      <c r="C58" s="344" t="str">
        <f t="shared" si="1"/>
        <v>(水)</v>
      </c>
      <c r="D58" s="345" t="s">
        <v>402</v>
      </c>
    </row>
    <row r="59" spans="1:4">
      <c r="A59" s="348"/>
      <c r="B59" s="343">
        <f>DATE(A45,5,4)</f>
        <v>45050</v>
      </c>
      <c r="C59" s="344" t="str">
        <f t="shared" si="1"/>
        <v>(木)</v>
      </c>
      <c r="D59" s="345" t="s">
        <v>403</v>
      </c>
    </row>
    <row r="60" spans="1:4">
      <c r="A60" s="348"/>
      <c r="B60" s="343">
        <f>DATE(A45,5,5)</f>
        <v>45051</v>
      </c>
      <c r="C60" s="344" t="str">
        <f t="shared" si="1"/>
        <v>(金)</v>
      </c>
      <c r="D60" s="345" t="s">
        <v>404</v>
      </c>
    </row>
    <row r="61" spans="1:4">
      <c r="A61" s="348"/>
      <c r="B61" s="343" t="str">
        <f>IF(OR(WEEKDAY(B58)=1,WEEKDAY(B59)=1,WEEKDAY(B60)=1),B60+1,"")</f>
        <v/>
      </c>
      <c r="C61" s="344" t="str">
        <f t="shared" si="1"/>
        <v/>
      </c>
      <c r="D61" s="345" t="s">
        <v>384</v>
      </c>
    </row>
    <row r="62" spans="1:4">
      <c r="A62" s="348"/>
      <c r="B62" s="402">
        <f>IF(A45=2021,DATE(A45,7,22),DATE(A45,7,21-WEEKDAY(DATE(A45,7,0),3)))</f>
        <v>45124</v>
      </c>
      <c r="C62" s="344" t="str">
        <f t="shared" si="1"/>
        <v>(月)</v>
      </c>
      <c r="D62" s="345" t="s">
        <v>405</v>
      </c>
    </row>
    <row r="63" spans="1:4">
      <c r="A63" s="348"/>
      <c r="B63" s="402">
        <f>IF(A45=2021,DATE(A45,8,8),DATE(A45,8,11))</f>
        <v>45149</v>
      </c>
      <c r="C63" s="344" t="str">
        <f t="shared" si="1"/>
        <v>(金)</v>
      </c>
      <c r="D63" s="345" t="s">
        <v>407</v>
      </c>
    </row>
    <row r="64" spans="1:4">
      <c r="A64" s="348"/>
      <c r="B64" s="343" t="str">
        <f>IF(WEEKDAY(B63)=1,B63+1,"")</f>
        <v/>
      </c>
      <c r="C64" s="344" t="str">
        <f t="shared" si="1"/>
        <v/>
      </c>
      <c r="D64" s="345" t="s">
        <v>384</v>
      </c>
    </row>
    <row r="65" spans="1:4">
      <c r="A65" s="348"/>
      <c r="B65" s="343">
        <f>DATE(A45,9,21-WEEKDAY(DATE(A45,9,0),3))</f>
        <v>45187</v>
      </c>
      <c r="C65" s="344" t="str">
        <f t="shared" si="1"/>
        <v>(月)</v>
      </c>
      <c r="D65" s="345" t="s">
        <v>409</v>
      </c>
    </row>
    <row r="66" spans="1:4">
      <c r="A66" s="348"/>
      <c r="B66" s="343" t="str">
        <f>IF(B67-B65=2,B65+1,"")</f>
        <v/>
      </c>
      <c r="C66" s="344" t="str">
        <f t="shared" si="1"/>
        <v/>
      </c>
      <c r="D66" s="345" t="s">
        <v>419</v>
      </c>
    </row>
    <row r="67" spans="1:4">
      <c r="A67" s="348"/>
      <c r="B67" s="343">
        <f>DATE(A45,9,INT(23.2488+0.242194*(A45-1980)-INT((A45-1980)/4)))</f>
        <v>45192</v>
      </c>
      <c r="C67" s="344" t="str">
        <f t="shared" si="1"/>
        <v>(土)</v>
      </c>
      <c r="D67" s="345" t="s">
        <v>411</v>
      </c>
    </row>
    <row r="68" spans="1:4">
      <c r="A68" s="348"/>
      <c r="B68" s="343" t="str">
        <f>IF(WEEKDAY(B67)=1,B67+1,"")</f>
        <v/>
      </c>
      <c r="C68" s="344" t="str">
        <f t="shared" si="1"/>
        <v/>
      </c>
      <c r="D68" s="345" t="s">
        <v>384</v>
      </c>
    </row>
    <row r="69" spans="1:4">
      <c r="A69" s="348"/>
      <c r="B69" s="402">
        <f>IF(A45=2021,DATE(A45,7,23),DATE(A45,10,14-WEEKDAY(DATE(A45,10,0),3)))</f>
        <v>45208</v>
      </c>
      <c r="C69" s="344" t="str">
        <f t="shared" si="1"/>
        <v>(月)</v>
      </c>
      <c r="D69" s="345" t="str">
        <f>IF(A45&lt;2020,"体育の日","スポーツの日")</f>
        <v>スポーツの日</v>
      </c>
    </row>
    <row r="70" spans="1:4">
      <c r="A70" s="348"/>
      <c r="B70" s="343" t="str">
        <f>IF(A45=2019,DATE(A45,10,22),"")</f>
        <v/>
      </c>
      <c r="C70" s="344" t="str">
        <f t="shared" si="1"/>
        <v/>
      </c>
      <c r="D70" s="345" t="str">
        <f>IF(A45=2019,"即位礼正殿の儀","")</f>
        <v/>
      </c>
    </row>
    <row r="71" spans="1:4">
      <c r="A71" s="348"/>
      <c r="B71" s="343">
        <f>DATE(A45,11,3)</f>
        <v>45233</v>
      </c>
      <c r="C71" s="344" t="str">
        <f t="shared" si="1"/>
        <v>(金)</v>
      </c>
      <c r="D71" s="345" t="s">
        <v>415</v>
      </c>
    </row>
    <row r="72" spans="1:4">
      <c r="A72" s="348"/>
      <c r="B72" s="343" t="str">
        <f>IF(WEEKDAY(B71)=1,B71+1,"")</f>
        <v/>
      </c>
      <c r="C72" s="344" t="str">
        <f t="shared" si="1"/>
        <v/>
      </c>
      <c r="D72" s="345" t="s">
        <v>384</v>
      </c>
    </row>
    <row r="73" spans="1:4">
      <c r="A73" s="348"/>
      <c r="B73" s="343">
        <f>DATE(A45,11,23)</f>
        <v>45253</v>
      </c>
      <c r="C73" s="344" t="str">
        <f t="shared" si="1"/>
        <v>(木)</v>
      </c>
      <c r="D73" s="345" t="s">
        <v>416</v>
      </c>
    </row>
    <row r="74" spans="1:4">
      <c r="A74" s="355"/>
      <c r="B74" s="343" t="str">
        <f>IF(WEEKDAY(B73)=1,B73+1,"")</f>
        <v/>
      </c>
      <c r="C74" s="344" t="str">
        <f t="shared" si="1"/>
        <v/>
      </c>
      <c r="D74" s="345" t="s">
        <v>384</v>
      </c>
    </row>
  </sheetData>
  <phoneticPr fontId="3"/>
  <pageMargins left="0.78700000000000003" right="0.78700000000000003" top="0.98399999999999999" bottom="0.98399999999999999" header="0.51200000000000001" footer="0.51200000000000001"/>
  <pageSetup paperSize="9" orientation="portrait" verticalDpi="0"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0">
    <tabColor indexed="11"/>
  </sheetPr>
  <dimension ref="A1:B2"/>
  <sheetViews>
    <sheetView workbookViewId="0">
      <selection activeCell="I15" sqref="I15:I24"/>
    </sheetView>
  </sheetViews>
  <sheetFormatPr defaultRowHeight="13.5"/>
  <cols>
    <col min="1" max="1" width="10" bestFit="1" customWidth="1"/>
    <col min="2" max="2" width="110.375" bestFit="1" customWidth="1"/>
  </cols>
  <sheetData>
    <row r="1" spans="1:2">
      <c r="A1" s="356" t="s">
        <v>424</v>
      </c>
      <c r="B1" s="356" t="s">
        <v>425</v>
      </c>
    </row>
    <row r="2" spans="1:2">
      <c r="B2" s="357"/>
    </row>
  </sheetData>
  <phoneticPr fontId="3"/>
  <pageMargins left="0.78700000000000003" right="0.78700000000000003" top="0.98399999999999999" bottom="0.98399999999999999" header="0.51200000000000001" footer="0.5120000000000000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indexed="11"/>
  </sheetPr>
  <dimension ref="A1:D50"/>
  <sheetViews>
    <sheetView topLeftCell="A22" zoomScale="85" zoomScaleNormal="85" workbookViewId="0">
      <selection activeCell="I15" sqref="I15:I24"/>
    </sheetView>
  </sheetViews>
  <sheetFormatPr defaultRowHeight="11.25"/>
  <cols>
    <col min="1" max="1" width="28.875" style="299" bestFit="1" customWidth="1"/>
    <col min="2" max="2" width="115.5" style="299" customWidth="1"/>
    <col min="3" max="3" width="58.375" style="299" bestFit="1" customWidth="1"/>
    <col min="4" max="4" width="89.5" style="299" customWidth="1"/>
    <col min="5" max="5" width="83.125" style="299" bestFit="1" customWidth="1"/>
    <col min="6" max="16384" width="9" style="299"/>
  </cols>
  <sheetData>
    <row r="1" spans="1:4" ht="24" customHeight="1">
      <c r="A1" s="358"/>
      <c r="B1" s="359" t="s">
        <v>426</v>
      </c>
    </row>
    <row r="2" spans="1:4" ht="24" customHeight="1">
      <c r="A2" s="360" t="s">
        <v>427</v>
      </c>
      <c r="B2" s="361"/>
      <c r="C2" s="299" t="s">
        <v>428</v>
      </c>
    </row>
    <row r="3" spans="1:4" ht="24" customHeight="1">
      <c r="A3" s="360" t="s">
        <v>429</v>
      </c>
      <c r="B3" s="361" t="s">
        <v>654</v>
      </c>
      <c r="C3" s="299" t="s">
        <v>430</v>
      </c>
    </row>
    <row r="4" spans="1:4" ht="24" customHeight="1">
      <c r="A4" s="360" t="s">
        <v>431</v>
      </c>
      <c r="B4" s="361" t="s">
        <v>657</v>
      </c>
      <c r="C4" s="299" t="s">
        <v>432</v>
      </c>
    </row>
    <row r="5" spans="1:4">
      <c r="A5" s="311"/>
      <c r="B5" s="311"/>
    </row>
    <row r="6" spans="1:4" ht="24" customHeight="1">
      <c r="A6" s="358"/>
      <c r="B6" s="359" t="s">
        <v>433</v>
      </c>
    </row>
    <row r="7" spans="1:4" ht="24" customHeight="1">
      <c r="A7" s="360" t="s">
        <v>434</v>
      </c>
      <c r="B7" s="361"/>
      <c r="C7" s="299" t="s">
        <v>435</v>
      </c>
    </row>
    <row r="8" spans="1:4">
      <c r="A8" s="311"/>
      <c r="B8" s="311"/>
    </row>
    <row r="9" spans="1:4" ht="24" customHeight="1">
      <c r="A9" s="358"/>
      <c r="B9" s="359" t="s">
        <v>436</v>
      </c>
    </row>
    <row r="10" spans="1:4" ht="24" customHeight="1">
      <c r="A10" s="360" t="s">
        <v>437</v>
      </c>
      <c r="B10" s="361"/>
      <c r="C10" s="299" t="s">
        <v>438</v>
      </c>
    </row>
    <row r="11" spans="1:4">
      <c r="A11" s="311"/>
      <c r="B11" s="311"/>
    </row>
    <row r="12" spans="1:4" ht="24" customHeight="1">
      <c r="A12" s="358"/>
      <c r="B12" s="359" t="s">
        <v>439</v>
      </c>
      <c r="D12" s="359"/>
    </row>
    <row r="13" spans="1:4" ht="24" customHeight="1">
      <c r="A13" s="360" t="s">
        <v>440</v>
      </c>
      <c r="B13" s="361"/>
      <c r="C13" s="299" t="s">
        <v>441</v>
      </c>
    </row>
    <row r="14" spans="1:4" ht="24" hidden="1" customHeight="1">
      <c r="A14" s="362" t="s">
        <v>442</v>
      </c>
      <c r="B14" s="363"/>
      <c r="C14" s="364" t="s">
        <v>443</v>
      </c>
    </row>
    <row r="15" spans="1:4">
      <c r="A15" s="311"/>
      <c r="B15" s="311"/>
    </row>
    <row r="16" spans="1:4" ht="24" customHeight="1">
      <c r="A16" s="358"/>
      <c r="B16" s="359" t="s">
        <v>210</v>
      </c>
      <c r="D16" s="359"/>
    </row>
    <row r="17" spans="1:4" ht="24" customHeight="1">
      <c r="A17" s="360" t="s">
        <v>444</v>
      </c>
      <c r="B17" s="361"/>
      <c r="C17" s="299" t="s">
        <v>445</v>
      </c>
    </row>
    <row r="18" spans="1:4" ht="24" customHeight="1">
      <c r="A18" s="360" t="s">
        <v>446</v>
      </c>
      <c r="B18" s="361"/>
      <c r="C18" s="299" t="s">
        <v>447</v>
      </c>
    </row>
    <row r="19" spans="1:4" ht="24" customHeight="1">
      <c r="A19" s="360" t="s">
        <v>448</v>
      </c>
      <c r="B19" s="361"/>
      <c r="C19" s="299" t="s">
        <v>449</v>
      </c>
    </row>
    <row r="20" spans="1:4" ht="24" customHeight="1">
      <c r="A20" s="360" t="s">
        <v>450</v>
      </c>
      <c r="B20" s="365"/>
      <c r="C20" s="299" t="s">
        <v>451</v>
      </c>
    </row>
    <row r="21" spans="1:4" ht="24" customHeight="1">
      <c r="A21" s="360" t="s">
        <v>452</v>
      </c>
      <c r="B21" s="365"/>
      <c r="C21" s="299" t="s">
        <v>453</v>
      </c>
    </row>
    <row r="22" spans="1:4" ht="24" customHeight="1">
      <c r="A22" s="360" t="s">
        <v>454</v>
      </c>
      <c r="B22" s="365"/>
      <c r="C22" s="299" t="s">
        <v>455</v>
      </c>
    </row>
    <row r="23" spans="1:4">
      <c r="A23" s="311"/>
      <c r="B23" s="311"/>
    </row>
    <row r="24" spans="1:4" ht="24" customHeight="1">
      <c r="A24" s="358"/>
      <c r="B24" s="359" t="s">
        <v>456</v>
      </c>
      <c r="D24" s="359"/>
    </row>
    <row r="25" spans="1:4" ht="24" customHeight="1">
      <c r="A25" s="360" t="s">
        <v>457</v>
      </c>
      <c r="B25" s="361"/>
      <c r="C25" s="299" t="s">
        <v>458</v>
      </c>
    </row>
    <row r="26" spans="1:4" ht="24" customHeight="1">
      <c r="A26" s="360" t="s">
        <v>446</v>
      </c>
      <c r="B26" s="361"/>
      <c r="C26" s="299" t="s">
        <v>459</v>
      </c>
    </row>
    <row r="27" spans="1:4" ht="24" customHeight="1">
      <c r="A27" s="360" t="s">
        <v>450</v>
      </c>
      <c r="B27" s="365"/>
      <c r="C27" s="299" t="s">
        <v>460</v>
      </c>
    </row>
    <row r="28" spans="1:4" ht="24" customHeight="1">
      <c r="A28" s="360" t="s">
        <v>452</v>
      </c>
      <c r="B28" s="365"/>
      <c r="C28" s="299" t="s">
        <v>461</v>
      </c>
    </row>
    <row r="29" spans="1:4">
      <c r="A29" s="311"/>
      <c r="B29" s="311"/>
    </row>
    <row r="30" spans="1:4" ht="24" customHeight="1">
      <c r="A30" s="358"/>
      <c r="B30" s="359" t="s">
        <v>462</v>
      </c>
      <c r="D30" s="359"/>
    </row>
    <row r="31" spans="1:4" ht="24" customHeight="1">
      <c r="A31" s="360" t="s">
        <v>463</v>
      </c>
      <c r="B31" s="361" t="s">
        <v>464</v>
      </c>
      <c r="C31" s="299" t="s">
        <v>465</v>
      </c>
    </row>
    <row r="33" spans="1:3" ht="24" customHeight="1">
      <c r="A33" s="358"/>
      <c r="B33" s="359" t="s">
        <v>466</v>
      </c>
    </row>
    <row r="34" spans="1:3" ht="24" customHeight="1">
      <c r="A34" s="360" t="s">
        <v>467</v>
      </c>
      <c r="B34" s="361"/>
      <c r="C34" s="299" t="s">
        <v>468</v>
      </c>
    </row>
    <row r="35" spans="1:3" ht="24" customHeight="1">
      <c r="A35" s="360" t="s">
        <v>469</v>
      </c>
      <c r="B35" s="361"/>
      <c r="C35" s="299" t="s">
        <v>470</v>
      </c>
    </row>
    <row r="36" spans="1:3" ht="24" customHeight="1">
      <c r="A36" s="360" t="s">
        <v>471</v>
      </c>
      <c r="B36" s="361"/>
      <c r="C36" s="299" t="s">
        <v>472</v>
      </c>
    </row>
    <row r="37" spans="1:3" ht="24" customHeight="1">
      <c r="A37" s="360" t="s">
        <v>473</v>
      </c>
      <c r="B37" s="361"/>
      <c r="C37" s="299" t="s">
        <v>474</v>
      </c>
    </row>
    <row r="38" spans="1:3">
      <c r="A38" s="311"/>
      <c r="B38" s="311"/>
    </row>
    <row r="40" spans="1:3" ht="24" customHeight="1">
      <c r="A40" s="360" t="s">
        <v>475</v>
      </c>
      <c r="B40" s="366" t="b">
        <v>0</v>
      </c>
      <c r="C40" s="299" t="s">
        <v>476</v>
      </c>
    </row>
    <row r="43" spans="1:3" ht="24" customHeight="1">
      <c r="A43" s="360" t="s">
        <v>477</v>
      </c>
      <c r="B43" s="367" t="s">
        <v>607</v>
      </c>
      <c r="C43" s="299" t="s">
        <v>478</v>
      </c>
    </row>
    <row r="45" spans="1:3" ht="24" customHeight="1">
      <c r="A45" s="360" t="s">
        <v>479</v>
      </c>
      <c r="B45" s="368" t="s">
        <v>480</v>
      </c>
    </row>
    <row r="46" spans="1:3" ht="24" customHeight="1">
      <c r="A46" s="360" t="s">
        <v>481</v>
      </c>
      <c r="B46" s="369" t="s">
        <v>482</v>
      </c>
    </row>
    <row r="47" spans="1:3">
      <c r="A47" s="358"/>
    </row>
    <row r="48" spans="1:3">
      <c r="A48" s="358"/>
    </row>
    <row r="49" spans="1:1">
      <c r="A49" s="358"/>
    </row>
    <row r="50" spans="1:1">
      <c r="A50" s="358"/>
    </row>
  </sheetData>
  <phoneticPr fontId="3"/>
  <dataValidations count="2">
    <dataValidation type="list" allowBlank="1" showInputMessage="1" showErrorMessage="1" sqref="B43" xr:uid="{00000000-0002-0000-0E00-000000000000}">
      <formula1>"メンバー,リーダー,業務管理,開発者"</formula1>
    </dataValidation>
    <dataValidation type="list" allowBlank="1" showInputMessage="1" showErrorMessage="1" sqref="B40 B20:B22 B27:B28" xr:uid="{00000000-0002-0000-0E00-000001000000}">
      <formula1>"True,False"</formula1>
    </dataValidation>
  </dataValidations>
  <pageMargins left="0.78700000000000003" right="0.78700000000000003" top="0.98399999999999999" bottom="0.98399999999999999" header="0.51200000000000001" footer="0.51200000000000001"/>
  <pageSetup paperSize="9" orientation="portrait" verticalDpi="0"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dimension ref="A1:B62"/>
  <sheetViews>
    <sheetView workbookViewId="0">
      <pane ySplit="1" topLeftCell="A2" activePane="bottomLeft" state="frozen"/>
      <selection activeCell="I15" sqref="I15:I24"/>
      <selection pane="bottomLeft" activeCell="A2" sqref="A2"/>
    </sheetView>
  </sheetViews>
  <sheetFormatPr defaultRowHeight="21"/>
  <cols>
    <col min="1" max="2" width="10.875" style="374" customWidth="1"/>
  </cols>
  <sheetData>
    <row r="1" spans="1:2">
      <c r="A1" s="370" t="s">
        <v>483</v>
      </c>
      <c r="B1" s="371" t="s">
        <v>484</v>
      </c>
    </row>
    <row r="2" spans="1:2">
      <c r="A2" s="372">
        <v>0</v>
      </c>
      <c r="B2" s="373" t="s">
        <v>485</v>
      </c>
    </row>
    <row r="3" spans="1:2">
      <c r="A3" s="372">
        <v>1</v>
      </c>
      <c r="B3" s="373" t="s">
        <v>486</v>
      </c>
    </row>
    <row r="4" spans="1:2">
      <c r="A4" s="372">
        <v>2</v>
      </c>
      <c r="B4" s="373" t="s">
        <v>487</v>
      </c>
    </row>
    <row r="5" spans="1:2">
      <c r="A5" s="372">
        <v>3</v>
      </c>
      <c r="B5" s="373" t="s">
        <v>488</v>
      </c>
    </row>
    <row r="6" spans="1:2">
      <c r="A6" s="372">
        <v>4</v>
      </c>
      <c r="B6" s="373" t="s">
        <v>489</v>
      </c>
    </row>
    <row r="7" spans="1:2">
      <c r="A7" s="372">
        <v>5</v>
      </c>
      <c r="B7" s="373" t="s">
        <v>490</v>
      </c>
    </row>
    <row r="8" spans="1:2">
      <c r="A8" s="372">
        <v>6</v>
      </c>
      <c r="B8" s="373" t="s">
        <v>491</v>
      </c>
    </row>
    <row r="9" spans="1:2">
      <c r="A9" s="372">
        <v>7</v>
      </c>
      <c r="B9" s="373" t="s">
        <v>492</v>
      </c>
    </row>
    <row r="10" spans="1:2">
      <c r="A10" s="372">
        <v>8</v>
      </c>
      <c r="B10" s="373" t="s">
        <v>493</v>
      </c>
    </row>
    <row r="11" spans="1:2">
      <c r="A11" s="372">
        <v>9</v>
      </c>
      <c r="B11" s="373" t="s">
        <v>494</v>
      </c>
    </row>
    <row r="12" spans="1:2">
      <c r="A12" s="372">
        <v>10</v>
      </c>
      <c r="B12" s="373" t="s">
        <v>495</v>
      </c>
    </row>
    <row r="13" spans="1:2">
      <c r="A13" s="372">
        <v>11</v>
      </c>
      <c r="B13" s="373" t="s">
        <v>496</v>
      </c>
    </row>
    <row r="14" spans="1:2">
      <c r="A14" s="372">
        <v>12</v>
      </c>
      <c r="B14" s="373" t="s">
        <v>497</v>
      </c>
    </row>
    <row r="15" spans="1:2">
      <c r="A15" s="372">
        <v>13</v>
      </c>
      <c r="B15" s="373" t="s">
        <v>498</v>
      </c>
    </row>
    <row r="16" spans="1:2">
      <c r="A16" s="372">
        <v>14</v>
      </c>
      <c r="B16" s="373" t="s">
        <v>499</v>
      </c>
    </row>
    <row r="17" spans="1:2">
      <c r="A17" s="372">
        <v>15</v>
      </c>
      <c r="B17" s="373" t="s">
        <v>288</v>
      </c>
    </row>
    <row r="18" spans="1:2">
      <c r="A18" s="372">
        <v>16</v>
      </c>
      <c r="B18" s="373" t="s">
        <v>500</v>
      </c>
    </row>
    <row r="19" spans="1:2">
      <c r="A19" s="372">
        <v>17</v>
      </c>
      <c r="B19" s="373" t="s">
        <v>501</v>
      </c>
    </row>
    <row r="20" spans="1:2">
      <c r="A20" s="372">
        <v>18</v>
      </c>
      <c r="B20" s="373" t="s">
        <v>502</v>
      </c>
    </row>
    <row r="21" spans="1:2">
      <c r="A21" s="372">
        <v>19</v>
      </c>
      <c r="B21" s="373" t="s">
        <v>503</v>
      </c>
    </row>
    <row r="22" spans="1:2">
      <c r="A22" s="372">
        <v>20</v>
      </c>
      <c r="B22" s="373" t="s">
        <v>504</v>
      </c>
    </row>
    <row r="23" spans="1:2">
      <c r="A23" s="372">
        <v>21</v>
      </c>
      <c r="B23" s="373" t="s">
        <v>297</v>
      </c>
    </row>
    <row r="24" spans="1:2">
      <c r="A24" s="372">
        <v>22</v>
      </c>
      <c r="B24" s="373" t="s">
        <v>505</v>
      </c>
    </row>
    <row r="25" spans="1:2">
      <c r="A25" s="372">
        <v>23</v>
      </c>
      <c r="B25" s="373" t="s">
        <v>506</v>
      </c>
    </row>
    <row r="26" spans="1:2">
      <c r="A26" s="372">
        <v>24</v>
      </c>
      <c r="B26" s="373" t="s">
        <v>507</v>
      </c>
    </row>
    <row r="27" spans="1:2">
      <c r="A27" s="372">
        <v>25</v>
      </c>
      <c r="B27" s="373" t="s">
        <v>508</v>
      </c>
    </row>
    <row r="28" spans="1:2">
      <c r="A28" s="372">
        <v>26</v>
      </c>
      <c r="B28" s="373" t="s">
        <v>509</v>
      </c>
    </row>
    <row r="29" spans="1:2">
      <c r="A29" s="372">
        <v>27</v>
      </c>
      <c r="B29" s="373" t="s">
        <v>510</v>
      </c>
    </row>
    <row r="30" spans="1:2">
      <c r="A30" s="372">
        <v>28</v>
      </c>
      <c r="B30" s="373" t="s">
        <v>511</v>
      </c>
    </row>
    <row r="31" spans="1:2">
      <c r="A31" s="372">
        <v>29</v>
      </c>
      <c r="B31" s="373" t="s">
        <v>512</v>
      </c>
    </row>
    <row r="32" spans="1:2">
      <c r="A32" s="372">
        <v>30</v>
      </c>
      <c r="B32" s="373" t="s">
        <v>513</v>
      </c>
    </row>
    <row r="33" spans="1:2">
      <c r="A33" s="372">
        <v>31</v>
      </c>
      <c r="B33" s="373" t="s">
        <v>514</v>
      </c>
    </row>
    <row r="34" spans="1:2">
      <c r="A34" s="372">
        <v>32</v>
      </c>
      <c r="B34" s="373" t="s">
        <v>515</v>
      </c>
    </row>
    <row r="35" spans="1:2">
      <c r="A35" s="372">
        <v>33</v>
      </c>
      <c r="B35" s="373" t="s">
        <v>516</v>
      </c>
    </row>
    <row r="36" spans="1:2">
      <c r="A36" s="372">
        <v>34</v>
      </c>
      <c r="B36" s="373" t="s">
        <v>517</v>
      </c>
    </row>
    <row r="37" spans="1:2">
      <c r="A37" s="372">
        <v>35</v>
      </c>
      <c r="B37" s="373" t="s">
        <v>518</v>
      </c>
    </row>
    <row r="38" spans="1:2">
      <c r="A38" s="372">
        <v>36</v>
      </c>
      <c r="B38" s="373" t="s">
        <v>519</v>
      </c>
    </row>
    <row r="39" spans="1:2">
      <c r="A39" s="372">
        <v>37</v>
      </c>
      <c r="B39" s="373" t="s">
        <v>520</v>
      </c>
    </row>
    <row r="40" spans="1:2">
      <c r="A40" s="372">
        <v>38</v>
      </c>
      <c r="B40" s="373" t="s">
        <v>521</v>
      </c>
    </row>
    <row r="41" spans="1:2">
      <c r="A41" s="372">
        <v>39</v>
      </c>
      <c r="B41" s="373" t="s">
        <v>522</v>
      </c>
    </row>
    <row r="42" spans="1:2">
      <c r="A42" s="372">
        <v>40</v>
      </c>
      <c r="B42" s="373" t="s">
        <v>523</v>
      </c>
    </row>
    <row r="43" spans="1:2">
      <c r="A43" s="372">
        <v>41</v>
      </c>
      <c r="B43" s="373" t="s">
        <v>524</v>
      </c>
    </row>
    <row r="44" spans="1:2">
      <c r="A44" s="372">
        <v>42</v>
      </c>
      <c r="B44" s="373" t="s">
        <v>525</v>
      </c>
    </row>
    <row r="45" spans="1:2">
      <c r="A45" s="372">
        <v>43</v>
      </c>
      <c r="B45" s="373" t="s">
        <v>526</v>
      </c>
    </row>
    <row r="46" spans="1:2">
      <c r="A46" s="372">
        <v>44</v>
      </c>
      <c r="B46" s="373" t="s">
        <v>527</v>
      </c>
    </row>
    <row r="47" spans="1:2">
      <c r="A47" s="372">
        <v>45</v>
      </c>
      <c r="B47" s="373" t="s">
        <v>528</v>
      </c>
    </row>
    <row r="48" spans="1:2">
      <c r="A48" s="372">
        <v>46</v>
      </c>
      <c r="B48" s="373" t="s">
        <v>529</v>
      </c>
    </row>
    <row r="49" spans="1:2">
      <c r="A49" s="372">
        <v>47</v>
      </c>
      <c r="B49" s="373" t="s">
        <v>530</v>
      </c>
    </row>
    <row r="50" spans="1:2">
      <c r="A50" s="372">
        <v>48</v>
      </c>
      <c r="B50" s="373" t="s">
        <v>531</v>
      </c>
    </row>
    <row r="51" spans="1:2">
      <c r="A51" s="372">
        <v>49</v>
      </c>
      <c r="B51" s="373" t="s">
        <v>532</v>
      </c>
    </row>
    <row r="52" spans="1:2">
      <c r="A52" s="372">
        <v>50</v>
      </c>
      <c r="B52" s="373" t="s">
        <v>533</v>
      </c>
    </row>
    <row r="53" spans="1:2">
      <c r="A53" s="372">
        <v>51</v>
      </c>
      <c r="B53" s="373" t="s">
        <v>534</v>
      </c>
    </row>
    <row r="54" spans="1:2">
      <c r="A54" s="372">
        <v>52</v>
      </c>
      <c r="B54" s="373" t="s">
        <v>535</v>
      </c>
    </row>
    <row r="55" spans="1:2">
      <c r="A55" s="372">
        <v>53</v>
      </c>
      <c r="B55" s="373" t="s">
        <v>536</v>
      </c>
    </row>
    <row r="56" spans="1:2">
      <c r="A56" s="372">
        <v>54</v>
      </c>
      <c r="B56" s="373" t="s">
        <v>537</v>
      </c>
    </row>
    <row r="57" spans="1:2">
      <c r="A57" s="372">
        <v>55</v>
      </c>
      <c r="B57" s="373" t="s">
        <v>538</v>
      </c>
    </row>
    <row r="58" spans="1:2">
      <c r="A58" s="372">
        <v>56</v>
      </c>
      <c r="B58" s="373" t="s">
        <v>539</v>
      </c>
    </row>
    <row r="59" spans="1:2">
      <c r="A59" s="372">
        <v>57</v>
      </c>
      <c r="B59" s="373" t="s">
        <v>540</v>
      </c>
    </row>
    <row r="60" spans="1:2">
      <c r="A60" s="372">
        <v>58</v>
      </c>
      <c r="B60" s="373" t="s">
        <v>541</v>
      </c>
    </row>
    <row r="61" spans="1:2">
      <c r="A61" s="372">
        <v>59</v>
      </c>
      <c r="B61" s="373" t="s">
        <v>542</v>
      </c>
    </row>
    <row r="62" spans="1:2">
      <c r="A62" s="372">
        <v>60</v>
      </c>
      <c r="B62" s="373" t="s">
        <v>543</v>
      </c>
    </row>
  </sheetData>
  <sheetProtection password="C64C" sheet="1" objects="1" scenarios="1"/>
  <phoneticPr fontId="3"/>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2:D34"/>
  <sheetViews>
    <sheetView showGridLines="0" topLeftCell="A23" zoomScale="85" workbookViewId="0">
      <selection activeCell="I15" sqref="I15:I24"/>
    </sheetView>
  </sheetViews>
  <sheetFormatPr defaultRowHeight="13.5"/>
  <cols>
    <col min="1" max="1" width="9" style="400"/>
    <col min="2" max="2" width="11.625" bestFit="1" customWidth="1"/>
    <col min="3" max="3" width="83.75" style="401" customWidth="1"/>
    <col min="4" max="4" width="16.25" bestFit="1" customWidth="1"/>
  </cols>
  <sheetData>
    <row r="2" spans="1:4">
      <c r="A2" s="375" t="s">
        <v>544</v>
      </c>
      <c r="B2" s="291" t="s">
        <v>545</v>
      </c>
      <c r="C2" s="376" t="s">
        <v>546</v>
      </c>
    </row>
    <row r="3" spans="1:4">
      <c r="A3" s="377" t="s">
        <v>547</v>
      </c>
      <c r="B3" s="378">
        <v>40863</v>
      </c>
      <c r="C3" s="379" t="s">
        <v>548</v>
      </c>
    </row>
    <row r="4" spans="1:4" ht="40.5">
      <c r="A4" s="380" t="s">
        <v>549</v>
      </c>
      <c r="B4" s="381">
        <v>40868</v>
      </c>
      <c r="C4" s="382" t="s">
        <v>550</v>
      </c>
    </row>
    <row r="5" spans="1:4" ht="54">
      <c r="A5" s="380" t="s">
        <v>551</v>
      </c>
      <c r="B5" s="381">
        <v>40872</v>
      </c>
      <c r="C5" s="382" t="s">
        <v>552</v>
      </c>
    </row>
    <row r="6" spans="1:4" ht="94.5">
      <c r="A6" s="380" t="s">
        <v>553</v>
      </c>
      <c r="B6" s="381">
        <v>40882</v>
      </c>
      <c r="C6" s="382" t="s">
        <v>554</v>
      </c>
    </row>
    <row r="7" spans="1:4" ht="108">
      <c r="A7" s="383" t="s">
        <v>555</v>
      </c>
      <c r="B7" s="384">
        <v>40898</v>
      </c>
      <c r="C7" s="385" t="s">
        <v>556</v>
      </c>
    </row>
    <row r="8" spans="1:4" ht="40.5">
      <c r="A8" s="386"/>
      <c r="B8" s="387"/>
      <c r="C8" s="388" t="s">
        <v>557</v>
      </c>
    </row>
    <row r="9" spans="1:4" ht="67.5">
      <c r="A9" s="380" t="s">
        <v>558</v>
      </c>
      <c r="B9" s="381">
        <v>40966</v>
      </c>
      <c r="C9" s="382" t="s">
        <v>559</v>
      </c>
    </row>
    <row r="10" spans="1:4" ht="175.5">
      <c r="A10" s="380" t="s">
        <v>560</v>
      </c>
      <c r="B10" s="381">
        <v>40977</v>
      </c>
      <c r="C10" s="382" t="s">
        <v>561</v>
      </c>
    </row>
    <row r="11" spans="1:4" ht="54">
      <c r="A11" s="380" t="s">
        <v>562</v>
      </c>
      <c r="B11" s="381">
        <v>40991</v>
      </c>
      <c r="C11" s="382" t="s">
        <v>563</v>
      </c>
    </row>
    <row r="12" spans="1:4" ht="54">
      <c r="A12" s="389" t="s">
        <v>564</v>
      </c>
      <c r="B12" s="390">
        <v>41072</v>
      </c>
      <c r="C12" s="391" t="s">
        <v>565</v>
      </c>
      <c r="D12" s="392"/>
    </row>
    <row r="13" spans="1:4" ht="135">
      <c r="A13" s="393"/>
      <c r="B13" s="378"/>
      <c r="C13" s="394" t="s">
        <v>566</v>
      </c>
      <c r="D13" s="392"/>
    </row>
    <row r="14" spans="1:4" ht="67.5">
      <c r="A14" s="380" t="s">
        <v>567</v>
      </c>
      <c r="B14" s="381">
        <v>41089</v>
      </c>
      <c r="C14" s="382" t="s">
        <v>568</v>
      </c>
      <c r="D14" s="392"/>
    </row>
    <row r="15" spans="1:4" ht="67.5">
      <c r="A15" s="380" t="s">
        <v>569</v>
      </c>
      <c r="B15" s="395">
        <v>41120</v>
      </c>
      <c r="C15" s="396" t="s">
        <v>570</v>
      </c>
      <c r="D15" s="397"/>
    </row>
    <row r="16" spans="1:4" ht="81">
      <c r="A16" s="380" t="s">
        <v>571</v>
      </c>
      <c r="B16" s="395">
        <v>41145</v>
      </c>
      <c r="C16" s="396" t="s">
        <v>572</v>
      </c>
      <c r="D16" s="392"/>
    </row>
    <row r="17" spans="1:4" ht="81">
      <c r="A17" s="398" t="s">
        <v>573</v>
      </c>
      <c r="B17" s="395">
        <v>41235</v>
      </c>
      <c r="C17" s="396" t="s">
        <v>574</v>
      </c>
      <c r="D17" s="392"/>
    </row>
    <row r="18" spans="1:4" ht="27">
      <c r="A18" s="380" t="s">
        <v>575</v>
      </c>
      <c r="B18" s="395">
        <v>42146</v>
      </c>
      <c r="C18" s="382" t="s">
        <v>576</v>
      </c>
      <c r="D18" s="392"/>
    </row>
    <row r="19" spans="1:4" ht="40.5">
      <c r="A19" s="380" t="s">
        <v>577</v>
      </c>
      <c r="B19" s="395">
        <v>42153</v>
      </c>
      <c r="C19" s="382" t="s">
        <v>578</v>
      </c>
      <c r="D19" s="392"/>
    </row>
    <row r="20" spans="1:4" ht="54">
      <c r="A20" s="399" t="s">
        <v>579</v>
      </c>
      <c r="B20" s="381">
        <v>42216</v>
      </c>
      <c r="C20" s="382" t="s">
        <v>580</v>
      </c>
    </row>
    <row r="21" spans="1:4" ht="121.5">
      <c r="A21" s="399" t="s">
        <v>581</v>
      </c>
      <c r="B21" s="381">
        <v>42460</v>
      </c>
      <c r="C21" s="382" t="s">
        <v>582</v>
      </c>
    </row>
    <row r="22" spans="1:4" ht="108">
      <c r="A22" s="399" t="s">
        <v>583</v>
      </c>
      <c r="B22" s="381">
        <v>42969</v>
      </c>
      <c r="C22" s="382" t="s">
        <v>584</v>
      </c>
    </row>
    <row r="23" spans="1:4" ht="27">
      <c r="A23" s="399" t="s">
        <v>585</v>
      </c>
      <c r="B23" s="381">
        <v>43117</v>
      </c>
      <c r="C23" s="394" t="s">
        <v>586</v>
      </c>
    </row>
    <row r="24" spans="1:4" ht="108">
      <c r="A24" s="399" t="s">
        <v>587</v>
      </c>
      <c r="B24" s="381">
        <v>43279</v>
      </c>
      <c r="C24" s="394" t="s">
        <v>588</v>
      </c>
    </row>
    <row r="25" spans="1:4">
      <c r="A25" s="399" t="s">
        <v>589</v>
      </c>
      <c r="B25" s="381" t="s">
        <v>590</v>
      </c>
      <c r="C25" s="394" t="s">
        <v>590</v>
      </c>
    </row>
    <row r="26" spans="1:4" ht="67.5">
      <c r="A26" s="399" t="s">
        <v>591</v>
      </c>
      <c r="B26" s="381">
        <v>43409</v>
      </c>
      <c r="C26" s="394" t="s">
        <v>592</v>
      </c>
    </row>
    <row r="27" spans="1:4" ht="40.5">
      <c r="A27" s="399" t="s">
        <v>593</v>
      </c>
      <c r="B27" s="381">
        <v>43490</v>
      </c>
      <c r="C27" s="394" t="s">
        <v>594</v>
      </c>
    </row>
    <row r="28" spans="1:4" ht="54">
      <c r="A28" s="399" t="s">
        <v>595</v>
      </c>
      <c r="B28" s="381">
        <v>43640</v>
      </c>
      <c r="C28" s="394" t="s">
        <v>596</v>
      </c>
    </row>
    <row r="29" spans="1:4" ht="27" customHeight="1">
      <c r="A29" s="399" t="s">
        <v>597</v>
      </c>
      <c r="B29" s="381">
        <v>43655</v>
      </c>
      <c r="C29" s="394" t="s">
        <v>598</v>
      </c>
    </row>
    <row r="30" spans="1:4" ht="27" customHeight="1">
      <c r="A30" s="399" t="s">
        <v>599</v>
      </c>
      <c r="B30" s="381">
        <v>43783</v>
      </c>
      <c r="C30" s="394" t="s">
        <v>600</v>
      </c>
    </row>
    <row r="31" spans="1:4" ht="54">
      <c r="A31" s="399" t="s">
        <v>601</v>
      </c>
      <c r="B31" s="381">
        <v>43915</v>
      </c>
      <c r="C31" s="394" t="s">
        <v>602</v>
      </c>
    </row>
    <row r="32" spans="1:4" ht="54">
      <c r="A32" s="399" t="s">
        <v>603</v>
      </c>
      <c r="B32" s="381">
        <v>43971</v>
      </c>
      <c r="C32" s="394" t="s">
        <v>604</v>
      </c>
    </row>
    <row r="33" spans="1:3" ht="27">
      <c r="A33" s="399" t="s">
        <v>605</v>
      </c>
      <c r="B33" s="381">
        <v>44133</v>
      </c>
      <c r="C33" s="394" t="s">
        <v>606</v>
      </c>
    </row>
    <row r="34" spans="1:3">
      <c r="A34" s="399"/>
      <c r="B34" s="381"/>
      <c r="C34" s="379"/>
    </row>
  </sheetData>
  <phoneticPr fontId="3"/>
  <pageMargins left="0.78700000000000003" right="0.78700000000000003" top="0.98399999999999999" bottom="0.98399999999999999" header="0.51200000000000001" footer="0.51200000000000001"/>
  <pageSetup paperSize="9" orientation="portrait" verticalDpi="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130</vt:i4>
      </vt:variant>
    </vt:vector>
  </HeadingPairs>
  <TitlesOfParts>
    <vt:vector size="147" baseType="lpstr">
      <vt:lpstr>作業日報</vt:lpstr>
      <vt:lpstr>勤務区分表</vt:lpstr>
      <vt:lpstr>日報Excel</vt:lpstr>
      <vt:lpstr>一括出力 (CSV)</vt:lpstr>
      <vt:lpstr>CSV取込</vt:lpstr>
      <vt:lpstr>データ収集</vt:lpstr>
      <vt:lpstr>コード</vt:lpstr>
      <vt:lpstr>プロジェクトマスタ</vt:lpstr>
      <vt:lpstr>工程コードマスタ</vt:lpstr>
      <vt:lpstr>テーママスタ</vt:lpstr>
      <vt:lpstr>作業コードマスタ</vt:lpstr>
      <vt:lpstr>工程・作業対応</vt:lpstr>
      <vt:lpstr>祝日</vt:lpstr>
      <vt:lpstr>エラー情報</vt:lpstr>
      <vt:lpstr>設定</vt:lpstr>
      <vt:lpstr>時分変換表</vt:lpstr>
      <vt:lpstr>改訂履歴</vt:lpstr>
      <vt:lpstr>C_RG_TIME_KBN_MASTER</vt:lpstr>
      <vt:lpstr>Csv取込_出力フォルダ_Excel</vt:lpstr>
      <vt:lpstr>Csv取込_出力フラグ_Excel</vt:lpstr>
      <vt:lpstr>Csv取込_出力フラグ_MDB</vt:lpstr>
      <vt:lpstr>MDB_パス</vt:lpstr>
      <vt:lpstr>CSV取込!Print_Area</vt:lpstr>
      <vt:lpstr>'一括出力 (CSV)'!Print_Area</vt:lpstr>
      <vt:lpstr>日報Excel!Print_Area</vt:lpstr>
      <vt:lpstr>CSV取込!Print_Titles</vt:lpstr>
      <vt:lpstr>'一括出力 (CSV)'!Print_Titles</vt:lpstr>
      <vt:lpstr>テーマ_115001</vt:lpstr>
      <vt:lpstr>テーマ_115007</vt:lpstr>
      <vt:lpstr>テーマ_115008</vt:lpstr>
      <vt:lpstr>テーマ_115009</vt:lpstr>
      <vt:lpstr>テーマ_999EDC</vt:lpstr>
      <vt:lpstr>テーマコード</vt:lpstr>
      <vt:lpstr>テーマ一覧</vt:lpstr>
      <vt:lpstr>テンプレート_パス_データ収集シート</vt:lpstr>
      <vt:lpstr>テンプレート_パス_作業報告書_委任</vt:lpstr>
      <vt:lpstr>テンプレート_パス_作業報告書_派遣</vt:lpstr>
      <vt:lpstr>テンプレート_パス_日報Excel_社員</vt:lpstr>
      <vt:lpstr>バージョン</vt:lpstr>
      <vt:lpstr>プロジェクトマスタ</vt:lpstr>
      <vt:lpstr>プロジェクト名_マスタ</vt:lpstr>
      <vt:lpstr>プロジェクト名_正式</vt:lpstr>
      <vt:lpstr>ユーザ_プロジェクト名</vt:lpstr>
      <vt:lpstr>ユーザ_プロジェクト名_TC</vt:lpstr>
      <vt:lpstr>ユーザ_会社名</vt:lpstr>
      <vt:lpstr>ユーザ_開始日</vt:lpstr>
      <vt:lpstr>ユーザ_契約形態</vt:lpstr>
      <vt:lpstr>ユーザ_氏名</vt:lpstr>
      <vt:lpstr>ユーザ_資格</vt:lpstr>
      <vt:lpstr>ユーザ_実施責任者</vt:lpstr>
      <vt:lpstr>ユーザ_社員ID</vt:lpstr>
      <vt:lpstr>ユーザ_社員区分</vt:lpstr>
      <vt:lpstr>ユーザ_終了日</vt:lpstr>
      <vt:lpstr>ユーザ_注文番号</vt:lpstr>
      <vt:lpstr>ユーザ_部署</vt:lpstr>
      <vt:lpstr>ユーザ区分</vt:lpstr>
      <vt:lpstr>リビジョン</vt:lpstr>
      <vt:lpstr>拡幅作業コード</vt:lpstr>
      <vt:lpstr>契約形態マスタ</vt:lpstr>
      <vt:lpstr>検索条件_オーダー番号</vt:lpstr>
      <vt:lpstr>検索条件_プロジェクトコード</vt:lpstr>
      <vt:lpstr>工程・作業_A0</vt:lpstr>
      <vt:lpstr>工程・作業_A1</vt:lpstr>
      <vt:lpstr>工程・作業_B1</vt:lpstr>
      <vt:lpstr>工程・作業_B2</vt:lpstr>
      <vt:lpstr>工程・作業_C1</vt:lpstr>
      <vt:lpstr>工程・作業_C2</vt:lpstr>
      <vt:lpstr>工程・作業_D1</vt:lpstr>
      <vt:lpstr>工程・作業_D9</vt:lpstr>
      <vt:lpstr>工程・作業_E1</vt:lpstr>
      <vt:lpstr>工程・作業_E2</vt:lpstr>
      <vt:lpstr>工程・作業_E4</vt:lpstr>
      <vt:lpstr>工程・作業_F1</vt:lpstr>
      <vt:lpstr>工程・作業_F2</vt:lpstr>
      <vt:lpstr>工程・作業_F3</vt:lpstr>
      <vt:lpstr>工程・作業_H1</vt:lpstr>
      <vt:lpstr>工程・作業_I1</vt:lpstr>
      <vt:lpstr>工程・作業_K1</vt:lpstr>
      <vt:lpstr>工程・作業_L1</vt:lpstr>
      <vt:lpstr>工程・作業_L2</vt:lpstr>
      <vt:lpstr>工程・作業_L4</vt:lpstr>
      <vt:lpstr>工程・作業_M1</vt:lpstr>
      <vt:lpstr>工程・作業_N1</vt:lpstr>
      <vt:lpstr>工程・作業_O1</vt:lpstr>
      <vt:lpstr>工程・作業_P1</vt:lpstr>
      <vt:lpstr>工程・作業_Q1</vt:lpstr>
      <vt:lpstr>工程・作業_Q2</vt:lpstr>
      <vt:lpstr>工程・作業_V0</vt:lpstr>
      <vt:lpstr>工程・作業_V1</vt:lpstr>
      <vt:lpstr>工程・作業_V3</vt:lpstr>
      <vt:lpstr>工程・作業_V7</vt:lpstr>
      <vt:lpstr>工程・作業_W0</vt:lpstr>
      <vt:lpstr>工程・作業_W1</vt:lpstr>
      <vt:lpstr>工程・作業_W2</vt:lpstr>
      <vt:lpstr>工程・作業_W3</vt:lpstr>
      <vt:lpstr>工程・作業対応</vt:lpstr>
      <vt:lpstr>工程・作業対応マスタ</vt:lpstr>
      <vt:lpstr>工程コード</vt:lpstr>
      <vt:lpstr>工程コード_マスタ</vt:lpstr>
      <vt:lpstr>作業コード_マスタ</vt:lpstr>
      <vt:lpstr>時間区分_BP</vt:lpstr>
      <vt:lpstr>時間区分_社員</vt:lpstr>
      <vt:lpstr>時間区分マスタ</vt:lpstr>
      <vt:lpstr>時間区分リスト</vt:lpstr>
      <vt:lpstr>実績プロジェクトコード</vt:lpstr>
      <vt:lpstr>実績時間</vt:lpstr>
      <vt:lpstr>実績手当</vt:lpstr>
      <vt:lpstr>実績承認</vt:lpstr>
      <vt:lpstr>実績遅刻早退</vt:lpstr>
      <vt:lpstr>実績日付</vt:lpstr>
      <vt:lpstr>実績入力</vt:lpstr>
      <vt:lpstr>祝日!祝日</vt:lpstr>
      <vt:lpstr>祝日</vt:lpstr>
      <vt:lpstr>祝日テーブル</vt:lpstr>
      <vt:lpstr>出退勤区分マスタ</vt:lpstr>
      <vt:lpstr>出力ファイル_CSV</vt:lpstr>
      <vt:lpstr>出力ファイル_データ収集シート</vt:lpstr>
      <vt:lpstr>出力ファイル_作業報告書</vt:lpstr>
      <vt:lpstr>出力フォルダ_一括出力</vt:lpstr>
      <vt:lpstr>出力フォルダ_一括出力Csv</vt:lpstr>
      <vt:lpstr>出力フラグ_Csv</vt:lpstr>
      <vt:lpstr>出力フラグ_MDB</vt:lpstr>
      <vt:lpstr>出力フラグ_日報Excel</vt:lpstr>
      <vt:lpstr>初期化フラグ</vt:lpstr>
      <vt:lpstr>遅刻早退区分マスタ</vt:lpstr>
      <vt:lpstr>日報Excel_開始終了</vt:lpstr>
      <vt:lpstr>日報Excel_開始日</vt:lpstr>
      <vt:lpstr>日報Excel_氏名</vt:lpstr>
      <vt:lpstr>日報Excel_資格</vt:lpstr>
      <vt:lpstr>日報Excel_時間外指示内容</vt:lpstr>
      <vt:lpstr>日報Excel_自動振分</vt:lpstr>
      <vt:lpstr>日報Excel_社員番号</vt:lpstr>
      <vt:lpstr>日報Excel_手当</vt:lpstr>
      <vt:lpstr>日報Excel_終了日</vt:lpstr>
      <vt:lpstr>日報Excel_出退勤</vt:lpstr>
      <vt:lpstr>日報Excel_所属</vt:lpstr>
      <vt:lpstr>日報Excel_承認</vt:lpstr>
      <vt:lpstr>日報Excel_振替予定日</vt:lpstr>
      <vt:lpstr>日報Excel_備考</vt:lpstr>
      <vt:lpstr>日報Excel_明細</vt:lpstr>
      <vt:lpstr>入力ファイル_CSV</vt:lpstr>
      <vt:lpstr>入力フォルダ_Csv取込</vt:lpstr>
      <vt:lpstr>入力フォルダ_一括出力</vt:lpstr>
      <vt:lpstr>納品物件</vt:lpstr>
      <vt:lpstr>部署マスタ</vt:lpstr>
      <vt:lpstr>法定外休日</vt:lpstr>
      <vt:lpstr>作業日報!列_時間外指示内容</vt:lpstr>
    </vt:vector>
  </TitlesOfParts>
  <Company>TOKAIコミュニケーションズ</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松井信介(t094023)</dc:creator>
  <cp:lastModifiedBy>伊藤　毅之</cp:lastModifiedBy>
  <dcterms:created xsi:type="dcterms:W3CDTF">2020-10-29T02:37:20Z</dcterms:created>
  <dcterms:modified xsi:type="dcterms:W3CDTF">2022-04-27T08:59:30Z</dcterms:modified>
</cp:coreProperties>
</file>